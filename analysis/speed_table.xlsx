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trem\Projects\gcodegen\analysis\"/>
    </mc:Choice>
  </mc:AlternateContent>
  <xr:revisionPtr revIDLastSave="0" documentId="13_ncr:9_{9A8A27C2-5D9C-4F11-9BBD-7E5709408E68}" xr6:coauthVersionLast="47" xr6:coauthVersionMax="47" xr10:uidLastSave="{00000000-0000-0000-0000-000000000000}"/>
  <bookViews>
    <workbookView xWindow="1248" yWindow="312" windowWidth="38808" windowHeight="25380" xr2:uid="{ADBC5C8C-19C5-42FD-8CFA-181103E7F67A}"/>
  </bookViews>
  <sheets>
    <sheet name="Model" sheetId="2" r:id="rId1"/>
  </sheets>
  <definedNames>
    <definedName name="feedrate_floor">Model!$B$24</definedName>
    <definedName name="feedrate_z_exponent">Model!$B$21</definedName>
    <definedName name="flow_offset">Model!$B$42</definedName>
    <definedName name="flow_scale">Model!$B$40</definedName>
    <definedName name="flow_width_factor">Model!$B$38</definedName>
    <definedName name="max_width">Model!$B$15</definedName>
    <definedName name="min_width">Model!$B$13</definedName>
    <definedName name="opacity_gamma">Model!$B$7</definedName>
    <definedName name="opacity_speed_min">Model!$B$28</definedName>
    <definedName name="p_max">Model!$B$36</definedName>
    <definedName name="p_min">Model!$B$34</definedName>
    <definedName name="spray_cone_angle">Model!$B$26</definedName>
    <definedName name="v_max">Model!$B$4</definedName>
    <definedName name="viscosity">Model!$B$10</definedName>
    <definedName name="width">Model!$B$31</definedName>
    <definedName name="z_max">Model!$B$19</definedName>
    <definedName name="z_min">Model!$B$17</definedName>
  </definedNames>
  <calcPr calcId="0"/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5" i="2"/>
  <c r="B28" i="2"/>
  <c r="B21" i="2"/>
  <c r="L21" i="2" s="1"/>
  <c r="B10" i="2"/>
  <c r="G18" i="2" s="1"/>
  <c r="V18" i="2" s="1"/>
  <c r="B7" i="2"/>
  <c r="F23" i="2" s="1"/>
  <c r="S23" i="2" s="1"/>
  <c r="N5" i="2"/>
  <c r="P5" i="2" s="1"/>
  <c r="N6" i="2"/>
  <c r="P6" i="2" s="1"/>
  <c r="N7" i="2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V56" i="2" l="1" a="1"/>
  <c r="V56" i="2" s="1"/>
  <c r="R36" i="2" a="1"/>
  <c r="R36" i="2" s="1"/>
  <c r="S59" i="2" a="1"/>
  <c r="S59" i="2" s="1"/>
  <c r="W55" i="2" a="1"/>
  <c r="W55" i="2" s="1"/>
  <c r="Y62" i="2" a="1"/>
  <c r="Y62" i="2" s="1"/>
  <c r="Y52" i="2" a="1"/>
  <c r="Y52" i="2" s="1"/>
  <c r="T59" i="2" a="1"/>
  <c r="T59" i="2" s="1"/>
  <c r="U49" i="2" a="1"/>
  <c r="U49" i="2" s="1"/>
  <c r="W46" i="2" a="1"/>
  <c r="W46" i="2" s="1"/>
  <c r="S43" i="2" a="1"/>
  <c r="S43" i="2" s="1"/>
  <c r="U40" i="2" a="1"/>
  <c r="U40" i="2" s="1"/>
  <c r="V55" i="2" a="1"/>
  <c r="V55" i="2" s="1"/>
  <c r="T40" i="2" a="1"/>
  <c r="T40" i="2" s="1"/>
  <c r="U39" i="2" a="1"/>
  <c r="U39" i="2" s="1"/>
  <c r="X63" i="2"/>
  <c r="X51" i="2" a="1"/>
  <c r="X51" i="2" s="1"/>
  <c r="T39" i="2" a="1"/>
  <c r="T39" i="2" s="1"/>
  <c r="P64" i="2"/>
  <c r="W61" i="2" a="1"/>
  <c r="W61" i="2" s="1"/>
  <c r="U54" i="2" a="1"/>
  <c r="U54" i="2" s="1"/>
  <c r="W51" i="2" a="1"/>
  <c r="W51" i="2" s="1"/>
  <c r="S48" i="2" a="1"/>
  <c r="S48" i="2" s="1"/>
  <c r="U45" i="2" a="1"/>
  <c r="U45" i="2" s="1"/>
  <c r="Y41" i="2" a="1"/>
  <c r="Y41" i="2" s="1"/>
  <c r="S39" i="2" a="1"/>
  <c r="S39" i="2" s="1"/>
  <c r="Q64" i="2"/>
  <c r="X60" i="2" a="1"/>
  <c r="X60" i="2" s="1"/>
  <c r="Y57" i="2" a="1"/>
  <c r="Y57" i="2" s="1"/>
  <c r="X52" i="2" a="1"/>
  <c r="X52" i="2" s="1"/>
  <c r="R59" i="2" a="1"/>
  <c r="R59" i="2" s="1"/>
  <c r="S49" i="2" a="1"/>
  <c r="S49" i="2" s="1"/>
  <c r="S58" i="2" a="1"/>
  <c r="S58" i="2" s="1"/>
  <c r="X61" i="2" a="1"/>
  <c r="X61" i="2" s="1"/>
  <c r="V45" i="2" a="1"/>
  <c r="V45" i="2" s="1"/>
  <c r="Y63" i="2"/>
  <c r="V51" i="2" a="1"/>
  <c r="V51" i="2" s="1"/>
  <c r="X41" i="2" a="1"/>
  <c r="X41" i="2" s="1"/>
  <c r="W60" i="2" a="1"/>
  <c r="W60" i="2" s="1"/>
  <c r="T64" i="2"/>
  <c r="W41" i="2" a="1"/>
  <c r="W41" i="2" s="1"/>
  <c r="X64" i="2"/>
  <c r="X56" i="2" a="1"/>
  <c r="X56" i="2" s="1"/>
  <c r="V46" i="2" a="1"/>
  <c r="V46" i="2" s="1"/>
  <c r="U55" i="2" a="1"/>
  <c r="U55" i="2" s="1"/>
  <c r="W45" i="2" a="1"/>
  <c r="W45" i="2" s="1"/>
  <c r="T55" i="2" a="1"/>
  <c r="T55" i="2" s="1"/>
  <c r="X42" i="2" a="1"/>
  <c r="X42" i="2" s="1"/>
  <c r="R58" i="2" a="1"/>
  <c r="R58" i="2" s="1"/>
  <c r="T54" i="2" a="1"/>
  <c r="T54" i="2" s="1"/>
  <c r="T45" i="2" a="1"/>
  <c r="T45" i="2" s="1"/>
  <c r="S64" i="2"/>
  <c r="W50" i="2" a="1"/>
  <c r="W50" i="2" s="1"/>
  <c r="W64" i="2"/>
  <c r="Y56" i="2" a="1"/>
  <c r="Y56" i="2" s="1"/>
  <c r="R54" i="2" a="1"/>
  <c r="R54" i="2" s="1"/>
  <c r="X47" i="2" a="1"/>
  <c r="X47" i="2" s="1"/>
  <c r="V41" i="2" a="1"/>
  <c r="V41" i="2" s="1"/>
  <c r="S53" i="2" a="1"/>
  <c r="S53" i="2" s="1"/>
  <c r="U50" i="2" a="1"/>
  <c r="U50" i="2" s="1"/>
  <c r="Y46" i="2" a="1"/>
  <c r="Y46" i="2" s="1"/>
  <c r="S44" i="2" a="1"/>
  <c r="S44" i="2" s="1"/>
  <c r="W40" i="2" a="1"/>
  <c r="W40" i="2" s="1"/>
  <c r="Y37" i="2" a="1"/>
  <c r="Y37" i="2" s="1"/>
  <c r="R43" i="2" a="1"/>
  <c r="R43" i="2" s="1"/>
  <c r="Y61" i="2" a="1"/>
  <c r="Y61" i="2" s="1"/>
  <c r="Y42" i="2" a="1"/>
  <c r="Y42" i="2" s="1"/>
  <c r="R49" i="2" a="1"/>
  <c r="R49" i="2" s="1"/>
  <c r="R64" i="2"/>
  <c r="R48" i="2" a="1"/>
  <c r="R48" i="2" s="1"/>
  <c r="R39" i="2" a="1"/>
  <c r="R39" i="2" s="1"/>
  <c r="X57" i="2" a="1"/>
  <c r="X57" i="2" s="1"/>
  <c r="S54" i="2" a="1"/>
  <c r="S54" i="2" s="1"/>
  <c r="Y47" i="2" a="1"/>
  <c r="Y47" i="2" s="1"/>
  <c r="U44" i="2" a="1"/>
  <c r="U44" i="2" s="1"/>
  <c r="S38" i="2" a="1"/>
  <c r="S38" i="2" s="1"/>
  <c r="V60" i="2" a="1"/>
  <c r="V60" i="2" s="1"/>
  <c r="V50" i="2" a="1"/>
  <c r="V50" i="2" s="1"/>
  <c r="T44" i="2" a="1"/>
  <c r="T44" i="2" s="1"/>
  <c r="R38" i="2" a="1"/>
  <c r="R38" i="2" s="1"/>
  <c r="U60" i="2" a="1"/>
  <c r="U60" i="2" s="1"/>
  <c r="T36" i="2" a="1"/>
  <c r="T36" i="2" s="1"/>
  <c r="U59" i="2" a="1"/>
  <c r="U59" i="2" s="1"/>
  <c r="W56" i="2" a="1"/>
  <c r="W56" i="2" s="1"/>
  <c r="R62" i="2" a="1"/>
  <c r="R62" i="2" s="1"/>
  <c r="T49" i="2" a="1"/>
  <c r="T49" i="2" s="1"/>
  <c r="Y51" i="2" a="1"/>
  <c r="Y51" i="2" s="1"/>
  <c r="S36" i="2" a="1"/>
  <c r="S36" i="2" s="1"/>
  <c r="R53" i="2" a="1"/>
  <c r="R53" i="2" s="1"/>
  <c r="T50" i="2" a="1"/>
  <c r="T50" i="2" s="1"/>
  <c r="X46" i="2" a="1"/>
  <c r="X46" i="2" s="1"/>
  <c r="R44" i="2" a="1"/>
  <c r="R44" i="2" s="1"/>
  <c r="V40" i="2" a="1"/>
  <c r="V40" i="2" s="1"/>
  <c r="X37" i="2" a="1"/>
  <c r="X37" i="2" s="1"/>
  <c r="Y64" i="2"/>
  <c r="S55" i="2" a="1"/>
  <c r="S55" i="2" s="1"/>
  <c r="W47" i="2" a="1"/>
  <c r="W47" i="2" s="1"/>
  <c r="S40" i="2" a="1"/>
  <c r="S40" i="2" s="1"/>
  <c r="S60" i="2" a="1"/>
  <c r="S60" i="2" s="1"/>
  <c r="X48" i="2" a="1"/>
  <c r="X48" i="2" s="1"/>
  <c r="P63" i="2"/>
  <c r="S61" i="2" a="1"/>
  <c r="S61" i="2" s="1"/>
  <c r="X62" i="2" a="1"/>
  <c r="X62" i="2" s="1"/>
  <c r="W52" i="2" a="1"/>
  <c r="W52" i="2" s="1"/>
  <c r="U46" i="2" a="1"/>
  <c r="U46" i="2" s="1"/>
  <c r="Y38" i="2" a="1"/>
  <c r="Y38" i="2" s="1"/>
  <c r="U61" i="2" a="1"/>
  <c r="U61" i="2" s="1"/>
  <c r="V57" i="2" a="1"/>
  <c r="V57" i="2" s="1"/>
  <c r="T51" i="2" a="1"/>
  <c r="T51" i="2" s="1"/>
  <c r="R45" i="2" a="1"/>
  <c r="R45" i="2" s="1"/>
  <c r="R40" i="2" a="1"/>
  <c r="R40" i="2" s="1"/>
  <c r="T61" i="2" a="1"/>
  <c r="T61" i="2" s="1"/>
  <c r="W58" i="2" a="1"/>
  <c r="W58" i="2" s="1"/>
  <c r="W53" i="2" a="1"/>
  <c r="W53" i="2" s="1"/>
  <c r="U47" i="2" a="1"/>
  <c r="U47" i="2" s="1"/>
  <c r="Y39" i="2" a="1"/>
  <c r="Y39" i="2" s="1"/>
  <c r="S63" i="2"/>
  <c r="X59" i="2" a="1"/>
  <c r="X59" i="2" s="1"/>
  <c r="R56" i="2" a="1"/>
  <c r="R56" i="2" s="1"/>
  <c r="X54" i="2" a="1"/>
  <c r="X54" i="2" s="1"/>
  <c r="T52" i="2" a="1"/>
  <c r="T52" i="2" s="1"/>
  <c r="R51" i="2" a="1"/>
  <c r="R51" i="2" s="1"/>
  <c r="X49" i="2" a="1"/>
  <c r="X49" i="2" s="1"/>
  <c r="T47" i="2" a="1"/>
  <c r="T47" i="2" s="1"/>
  <c r="R46" i="2" a="1"/>
  <c r="R46" i="2" s="1"/>
  <c r="X44" i="2" a="1"/>
  <c r="X44" i="2" s="1"/>
  <c r="V43" i="2" a="1"/>
  <c r="V43" i="2" s="1"/>
  <c r="T42" i="2" a="1"/>
  <c r="T42" i="2" s="1"/>
  <c r="R41" i="2" a="1"/>
  <c r="R41" i="2" s="1"/>
  <c r="X39" i="2" a="1"/>
  <c r="X39" i="2" s="1"/>
  <c r="V38" i="2" a="1"/>
  <c r="V38" i="2" s="1"/>
  <c r="T37" i="2" a="1"/>
  <c r="T37" i="2" s="1"/>
  <c r="T60" i="2" a="1"/>
  <c r="T60" i="2" s="1"/>
  <c r="U56" i="2" a="1"/>
  <c r="U56" i="2" s="1"/>
  <c r="S50" i="2" a="1"/>
  <c r="S50" i="2" s="1"/>
  <c r="Y43" i="2" a="1"/>
  <c r="Y43" i="2" s="1"/>
  <c r="W37" i="2" a="1"/>
  <c r="W37" i="2" s="1"/>
  <c r="Y36" i="2" a="1"/>
  <c r="Y36" i="2" s="1"/>
  <c r="X53" i="2" a="1"/>
  <c r="X53" i="2" s="1"/>
  <c r="V47" i="2" a="1"/>
  <c r="V47" i="2" s="1"/>
  <c r="V42" i="2" a="1"/>
  <c r="V42" i="2" s="1"/>
  <c r="V37" i="2" a="1"/>
  <c r="V37" i="2" s="1"/>
  <c r="U57" i="2" a="1"/>
  <c r="U57" i="2" s="1"/>
  <c r="U52" i="2" a="1"/>
  <c r="U52" i="2" s="1"/>
  <c r="W48" i="2" a="1"/>
  <c r="W48" i="2" s="1"/>
  <c r="Y44" i="2" a="1"/>
  <c r="Y44" i="2" s="1"/>
  <c r="W38" i="2" a="1"/>
  <c r="W38" i="2" s="1"/>
  <c r="R63" i="2"/>
  <c r="U62" i="2" a="1"/>
  <c r="U62" i="2" s="1"/>
  <c r="W36" i="2" a="1"/>
  <c r="W36" i="2" s="1"/>
  <c r="V58" i="2" a="1"/>
  <c r="V58" i="2" s="1"/>
  <c r="T57" i="2" a="1"/>
  <c r="T57" i="2" s="1"/>
  <c r="V53" i="2" a="1"/>
  <c r="V53" i="2" s="1"/>
  <c r="V48" i="2" a="1"/>
  <c r="V48" i="2" s="1"/>
  <c r="T63" i="2"/>
  <c r="T62" i="2" a="1"/>
  <c r="T62" i="2" s="1"/>
  <c r="R61" i="2" a="1"/>
  <c r="R61" i="2" s="1"/>
  <c r="W57" i="2" a="1"/>
  <c r="W57" i="2" s="1"/>
  <c r="U51" i="2" a="1"/>
  <c r="U51" i="2" s="1"/>
  <c r="S45" i="2" a="1"/>
  <c r="S45" i="2" s="1"/>
  <c r="W42" i="2" a="1"/>
  <c r="W42" i="2" s="1"/>
  <c r="W62" i="2" a="1"/>
  <c r="W62" i="2" s="1"/>
  <c r="R55" i="2" a="1"/>
  <c r="R55" i="2" s="1"/>
  <c r="R50" i="2" a="1"/>
  <c r="R50" i="2" s="1"/>
  <c r="X43" i="2" a="1"/>
  <c r="X43" i="2" s="1"/>
  <c r="T41" i="2" a="1"/>
  <c r="T41" i="2" s="1"/>
  <c r="V62" i="2" a="1"/>
  <c r="V62" i="2" s="1"/>
  <c r="X36" i="2" a="1"/>
  <c r="X36" i="2" s="1"/>
  <c r="Y54" i="2" a="1"/>
  <c r="Y54" i="2" s="1"/>
  <c r="Y49" i="2" a="1"/>
  <c r="Y49" i="2" s="1"/>
  <c r="S46" i="2" a="1"/>
  <c r="S46" i="2" s="1"/>
  <c r="U42" i="2" a="1"/>
  <c r="U42" i="2" s="1"/>
  <c r="S41" i="2" a="1"/>
  <c r="S41" i="2" s="1"/>
  <c r="U37" i="2" a="1"/>
  <c r="U37" i="2" s="1"/>
  <c r="Y59" i="2" a="1"/>
  <c r="Y59" i="2" s="1"/>
  <c r="U63" i="2"/>
  <c r="V36" i="2" a="1"/>
  <c r="V36" i="2" s="1"/>
  <c r="W59" i="2" a="1"/>
  <c r="W59" i="2" s="1"/>
  <c r="U58" i="2" a="1"/>
  <c r="U58" i="2" s="1"/>
  <c r="S57" i="2" a="1"/>
  <c r="S57" i="2" s="1"/>
  <c r="Y55" i="2" a="1"/>
  <c r="Y55" i="2" s="1"/>
  <c r="W54" i="2" a="1"/>
  <c r="W54" i="2" s="1"/>
  <c r="U53" i="2" a="1"/>
  <c r="U53" i="2" s="1"/>
  <c r="S52" i="2" a="1"/>
  <c r="S52" i="2" s="1"/>
  <c r="Y50" i="2" a="1"/>
  <c r="Y50" i="2" s="1"/>
  <c r="W49" i="2" a="1"/>
  <c r="W49" i="2" s="1"/>
  <c r="U48" i="2" a="1"/>
  <c r="U48" i="2" s="1"/>
  <c r="S47" i="2" a="1"/>
  <c r="S47" i="2" s="1"/>
  <c r="Y45" i="2" a="1"/>
  <c r="Y45" i="2" s="1"/>
  <c r="W44" i="2" a="1"/>
  <c r="W44" i="2" s="1"/>
  <c r="U43" i="2" a="1"/>
  <c r="U43" i="2" s="1"/>
  <c r="S42" i="2" a="1"/>
  <c r="S42" i="2" s="1"/>
  <c r="Y40" i="2" a="1"/>
  <c r="Y40" i="2" s="1"/>
  <c r="W39" i="2" a="1"/>
  <c r="W39" i="2" s="1"/>
  <c r="U38" i="2" a="1"/>
  <c r="U38" i="2" s="1"/>
  <c r="S37" i="2" a="1"/>
  <c r="S37" i="2" s="1"/>
  <c r="T56" i="2" a="1"/>
  <c r="T56" i="2" s="1"/>
  <c r="V61" i="2" a="1"/>
  <c r="V61" i="2" s="1"/>
  <c r="Y58" i="2" a="1"/>
  <c r="Y58" i="2" s="1"/>
  <c r="Y53" i="2" a="1"/>
  <c r="Y53" i="2" s="1"/>
  <c r="Y48" i="2" a="1"/>
  <c r="Y48" i="2" s="1"/>
  <c r="U41" i="2" a="1"/>
  <c r="U41" i="2" s="1"/>
  <c r="P36" i="2" a="1"/>
  <c r="P36" i="2" s="1"/>
  <c r="X58" i="2" a="1"/>
  <c r="X58" i="2" s="1"/>
  <c r="V52" i="2" a="1"/>
  <c r="V52" i="2" s="1"/>
  <c r="T46" i="2" a="1"/>
  <c r="T46" i="2" s="1"/>
  <c r="X38" i="2" a="1"/>
  <c r="X38" i="2" s="1"/>
  <c r="R60" i="2" a="1"/>
  <c r="R60" i="2" s="1"/>
  <c r="Q63" i="2"/>
  <c r="S56" i="2" a="1"/>
  <c r="S56" i="2" s="1"/>
  <c r="S51" i="2" a="1"/>
  <c r="S51" i="2" s="1"/>
  <c r="W43" i="2" a="1"/>
  <c r="W43" i="2" s="1"/>
  <c r="V63" i="2"/>
  <c r="S62" i="2" a="1"/>
  <c r="S62" i="2" s="1"/>
  <c r="Y60" i="2" a="1"/>
  <c r="Y60" i="2" s="1"/>
  <c r="W63" i="2"/>
  <c r="U36" i="2" a="1"/>
  <c r="U36" i="2" s="1"/>
  <c r="V59" i="2" a="1"/>
  <c r="V59" i="2" s="1"/>
  <c r="T58" i="2" a="1"/>
  <c r="T58" i="2" s="1"/>
  <c r="R57" i="2" a="1"/>
  <c r="R57" i="2" s="1"/>
  <c r="X55" i="2" a="1"/>
  <c r="X55" i="2" s="1"/>
  <c r="V54" i="2" a="1"/>
  <c r="V54" i="2" s="1"/>
  <c r="T53" i="2" a="1"/>
  <c r="T53" i="2" s="1"/>
  <c r="R52" i="2" a="1"/>
  <c r="R52" i="2" s="1"/>
  <c r="X50" i="2" a="1"/>
  <c r="X50" i="2" s="1"/>
  <c r="V49" i="2" a="1"/>
  <c r="V49" i="2" s="1"/>
  <c r="T48" i="2" a="1"/>
  <c r="T48" i="2" s="1"/>
  <c r="R47" i="2" a="1"/>
  <c r="R47" i="2" s="1"/>
  <c r="X45" i="2" a="1"/>
  <c r="X45" i="2" s="1"/>
  <c r="V44" i="2" a="1"/>
  <c r="V44" i="2" s="1"/>
  <c r="T43" i="2" a="1"/>
  <c r="T43" i="2" s="1"/>
  <c r="R42" i="2" a="1"/>
  <c r="R42" i="2" s="1"/>
  <c r="X40" i="2" a="1"/>
  <c r="X40" i="2" s="1"/>
  <c r="V39" i="2" a="1"/>
  <c r="V39" i="2" s="1"/>
  <c r="T38" i="2" a="1"/>
  <c r="T38" i="2" s="1"/>
  <c r="R37" i="2" a="1"/>
  <c r="R37" i="2" s="1"/>
  <c r="Q61" i="2" a="1"/>
  <c r="Q61" i="2" s="1"/>
  <c r="Q59" i="2" a="1"/>
  <c r="Q59" i="2" s="1"/>
  <c r="Q57" i="2" a="1"/>
  <c r="Q57" i="2" s="1"/>
  <c r="Q55" i="2" a="1"/>
  <c r="Q55" i="2" s="1"/>
  <c r="Q52" i="2" a="1"/>
  <c r="Q52" i="2" s="1"/>
  <c r="Q50" i="2" a="1"/>
  <c r="Q50" i="2" s="1"/>
  <c r="Q48" i="2" a="1"/>
  <c r="Q48" i="2" s="1"/>
  <c r="Q46" i="2" a="1"/>
  <c r="Q46" i="2" s="1"/>
  <c r="Q44" i="2" a="1"/>
  <c r="Q44" i="2" s="1"/>
  <c r="Q43" i="2" a="1"/>
  <c r="Q43" i="2" s="1"/>
  <c r="Q42" i="2" a="1"/>
  <c r="Q42" i="2" s="1"/>
  <c r="Q41" i="2" a="1"/>
  <c r="Q41" i="2" s="1"/>
  <c r="Q40" i="2" a="1"/>
  <c r="Q40" i="2" s="1"/>
  <c r="Q38" i="2" a="1"/>
  <c r="Q38" i="2" s="1"/>
  <c r="Q37" i="2" a="1"/>
  <c r="Q37" i="2" s="1"/>
  <c r="Q62" i="2" a="1"/>
  <c r="Q62" i="2" s="1"/>
  <c r="Q60" i="2" a="1"/>
  <c r="Q60" i="2" s="1"/>
  <c r="Q58" i="2" a="1"/>
  <c r="Q58" i="2" s="1"/>
  <c r="Q56" i="2" a="1"/>
  <c r="Q56" i="2" s="1"/>
  <c r="Q54" i="2" a="1"/>
  <c r="Q54" i="2" s="1"/>
  <c r="Q53" i="2" a="1"/>
  <c r="Q53" i="2" s="1"/>
  <c r="Q51" i="2" a="1"/>
  <c r="Q51" i="2" s="1"/>
  <c r="Q49" i="2" a="1"/>
  <c r="Q49" i="2" s="1"/>
  <c r="Q47" i="2" a="1"/>
  <c r="Q47" i="2" s="1"/>
  <c r="Q45" i="2" a="1"/>
  <c r="Q45" i="2" s="1"/>
  <c r="Q39" i="2" a="1"/>
  <c r="Q39" i="2" s="1"/>
  <c r="U64" i="2"/>
  <c r="V64" i="2"/>
  <c r="Q36" i="2" a="1"/>
  <c r="Q36" i="2" s="1"/>
  <c r="P62" i="2" a="1"/>
  <c r="P62" i="2" s="1"/>
  <c r="P61" i="2" a="1"/>
  <c r="P61" i="2" s="1"/>
  <c r="P60" i="2" a="1"/>
  <c r="P60" i="2" s="1"/>
  <c r="P59" i="2" a="1"/>
  <c r="P59" i="2" s="1"/>
  <c r="P58" i="2" a="1"/>
  <c r="P58" i="2" s="1"/>
  <c r="P57" i="2" a="1"/>
  <c r="P57" i="2" s="1"/>
  <c r="P56" i="2" a="1"/>
  <c r="P56" i="2" s="1"/>
  <c r="P55" i="2" a="1"/>
  <c r="P55" i="2" s="1"/>
  <c r="P54" i="2" a="1"/>
  <c r="P54" i="2" s="1"/>
  <c r="P53" i="2" a="1"/>
  <c r="P53" i="2" s="1"/>
  <c r="P52" i="2" a="1"/>
  <c r="P52" i="2" s="1"/>
  <c r="P51" i="2" a="1"/>
  <c r="P51" i="2" s="1"/>
  <c r="P50" i="2" a="1"/>
  <c r="P50" i="2" s="1"/>
  <c r="P49" i="2" a="1"/>
  <c r="P49" i="2" s="1"/>
  <c r="P48" i="2" a="1"/>
  <c r="P48" i="2" s="1"/>
  <c r="P47" i="2" a="1"/>
  <c r="P47" i="2" s="1"/>
  <c r="P46" i="2" a="1"/>
  <c r="P46" i="2" s="1"/>
  <c r="P45" i="2" a="1"/>
  <c r="P45" i="2" s="1"/>
  <c r="P44" i="2" a="1"/>
  <c r="P44" i="2" s="1"/>
  <c r="P43" i="2" a="1"/>
  <c r="P43" i="2" s="1"/>
  <c r="P42" i="2" a="1"/>
  <c r="P42" i="2" s="1"/>
  <c r="P41" i="2" a="1"/>
  <c r="P41" i="2" s="1"/>
  <c r="P40" i="2" a="1"/>
  <c r="P40" i="2" s="1"/>
  <c r="P39" i="2" a="1"/>
  <c r="P39" i="2" s="1"/>
  <c r="P38" i="2" a="1"/>
  <c r="P38" i="2" s="1"/>
  <c r="P37" i="2" a="1"/>
  <c r="P37" i="2" s="1"/>
  <c r="H61" i="2"/>
  <c r="H64" i="2"/>
  <c r="G61" i="2"/>
  <c r="G64" i="2"/>
  <c r="F61" i="2"/>
  <c r="F64" i="2"/>
  <c r="D36" i="2"/>
  <c r="E61" i="2"/>
  <c r="E64" i="2"/>
  <c r="D61" i="2"/>
  <c r="D64" i="2"/>
  <c r="M62" i="2"/>
  <c r="M60" i="2"/>
  <c r="M63" i="2"/>
  <c r="L62" i="2"/>
  <c r="L60" i="2"/>
  <c r="L63" i="2"/>
  <c r="K62" i="2"/>
  <c r="K60" i="2"/>
  <c r="K63" i="2"/>
  <c r="J62" i="2"/>
  <c r="J60" i="2"/>
  <c r="J63" i="2"/>
  <c r="I62" i="2"/>
  <c r="I60" i="2"/>
  <c r="I63" i="2"/>
  <c r="H62" i="2"/>
  <c r="H60" i="2"/>
  <c r="H63" i="2"/>
  <c r="G62" i="2"/>
  <c r="G60" i="2"/>
  <c r="G63" i="2"/>
  <c r="F62" i="2"/>
  <c r="F60" i="2"/>
  <c r="F63" i="2"/>
  <c r="E62" i="2"/>
  <c r="E60" i="2"/>
  <c r="E63" i="2"/>
  <c r="D62" i="2"/>
  <c r="D60" i="2"/>
  <c r="D63" i="2"/>
  <c r="M61" i="2"/>
  <c r="M64" i="2"/>
  <c r="L61" i="2"/>
  <c r="L64" i="2"/>
  <c r="K61" i="2"/>
  <c r="K64" i="2"/>
  <c r="J61" i="2"/>
  <c r="J64" i="2"/>
  <c r="I61" i="2"/>
  <c r="I64" i="2"/>
  <c r="L36" i="2"/>
  <c r="I36" i="2"/>
  <c r="F36" i="2"/>
  <c r="G36" i="2"/>
  <c r="E36" i="2"/>
  <c r="M36" i="2"/>
  <c r="K36" i="2"/>
  <c r="J36" i="2"/>
  <c r="H36" i="2"/>
  <c r="O13" i="2"/>
  <c r="Q13" i="2" s="1"/>
  <c r="R13" i="2" s="1"/>
  <c r="O19" i="2"/>
  <c r="Q19" i="2" s="1"/>
  <c r="R19" i="2" s="1"/>
  <c r="O21" i="2"/>
  <c r="Q21" i="2" s="1"/>
  <c r="R21" i="2" s="1"/>
  <c r="U21" i="2" s="1"/>
  <c r="M46" i="2"/>
  <c r="F56" i="2"/>
  <c r="E59" i="2"/>
  <c r="M58" i="2"/>
  <c r="F51" i="2"/>
  <c r="L50" i="2"/>
  <c r="M49" i="2"/>
  <c r="T8" i="2"/>
  <c r="M59" i="2"/>
  <c r="D59" i="2"/>
  <c r="L58" i="2"/>
  <c r="E51" i="2"/>
  <c r="D47" i="2"/>
  <c r="L46" i="2"/>
  <c r="H46" i="2"/>
  <c r="G46" i="2"/>
  <c r="T11" i="2"/>
  <c r="H44" i="2"/>
  <c r="T10" i="2"/>
  <c r="G41" i="2"/>
  <c r="G44" i="2"/>
  <c r="K55" i="2"/>
  <c r="L43" i="2"/>
  <c r="F54" i="2"/>
  <c r="M42" i="2"/>
  <c r="E56" i="2"/>
  <c r="H41" i="2"/>
  <c r="F41" i="2"/>
  <c r="T22" i="2"/>
  <c r="L52" i="2"/>
  <c r="E41" i="2"/>
  <c r="F44" i="2"/>
  <c r="T24" i="2"/>
  <c r="L53" i="2"/>
  <c r="T19" i="2"/>
  <c r="I52" i="2"/>
  <c r="L40" i="2"/>
  <c r="E54" i="2"/>
  <c r="M53" i="2"/>
  <c r="T23" i="2"/>
  <c r="T12" i="2"/>
  <c r="H52" i="2"/>
  <c r="J39" i="2"/>
  <c r="G51" i="2"/>
  <c r="L42" i="2"/>
  <c r="I58" i="2"/>
  <c r="M56" i="2"/>
  <c r="H49" i="2"/>
  <c r="M39" i="2"/>
  <c r="L56" i="2"/>
  <c r="G49" i="2"/>
  <c r="H56" i="2"/>
  <c r="H47" i="2"/>
  <c r="H39" i="2"/>
  <c r="J49" i="2"/>
  <c r="T25" i="2"/>
  <c r="G56" i="2"/>
  <c r="E47" i="2"/>
  <c r="G39" i="2"/>
  <c r="L59" i="2"/>
  <c r="J55" i="2"/>
  <c r="F46" i="2"/>
  <c r="H40" i="2"/>
  <c r="J59" i="2"/>
  <c r="E46" i="2"/>
  <c r="G55" i="2"/>
  <c r="D45" i="2"/>
  <c r="F40" i="2"/>
  <c r="I50" i="2"/>
  <c r="H55" i="2"/>
  <c r="G50" i="2"/>
  <c r="G40" i="2"/>
  <c r="G59" i="2"/>
  <c r="F50" i="2"/>
  <c r="F59" i="2"/>
  <c r="G54" i="2"/>
  <c r="E50" i="2"/>
  <c r="I44" i="2"/>
  <c r="E40" i="2"/>
  <c r="F49" i="2"/>
  <c r="E38" i="2"/>
  <c r="F58" i="2"/>
  <c r="M47" i="2"/>
  <c r="J43" i="2"/>
  <c r="G57" i="2"/>
  <c r="L47" i="2"/>
  <c r="L37" i="2"/>
  <c r="T15" i="2"/>
  <c r="E57" i="2"/>
  <c r="D53" i="2"/>
  <c r="K47" i="2"/>
  <c r="E43" i="2"/>
  <c r="H37" i="2"/>
  <c r="J53" i="2"/>
  <c r="K43" i="2"/>
  <c r="T18" i="2"/>
  <c r="F53" i="2"/>
  <c r="M37" i="2"/>
  <c r="T16" i="2"/>
  <c r="E53" i="2"/>
  <c r="F43" i="2"/>
  <c r="T13" i="2"/>
  <c r="D57" i="2"/>
  <c r="M52" i="2"/>
  <c r="J47" i="2"/>
  <c r="D43" i="2"/>
  <c r="G37" i="2"/>
  <c r="T7" i="2"/>
  <c r="E58" i="2"/>
  <c r="F55" i="2"/>
  <c r="G52" i="2"/>
  <c r="D49" i="2"/>
  <c r="K45" i="2"/>
  <c r="I42" i="2"/>
  <c r="F39" i="2"/>
  <c r="T6" i="2"/>
  <c r="M57" i="2"/>
  <c r="E55" i="2"/>
  <c r="E52" i="2"/>
  <c r="M48" i="2"/>
  <c r="J45" i="2"/>
  <c r="H42" i="2"/>
  <c r="D39" i="2"/>
  <c r="L57" i="2"/>
  <c r="D55" i="2"/>
  <c r="M51" i="2"/>
  <c r="L48" i="2"/>
  <c r="H45" i="2"/>
  <c r="E42" i="2"/>
  <c r="M38" i="2"/>
  <c r="K57" i="2"/>
  <c r="M54" i="2"/>
  <c r="L51" i="2"/>
  <c r="I48" i="2"/>
  <c r="G45" i="2"/>
  <c r="M41" i="2"/>
  <c r="L38" i="2"/>
  <c r="J57" i="2"/>
  <c r="I54" i="2"/>
  <c r="K51" i="2"/>
  <c r="F48" i="2"/>
  <c r="F45" i="2"/>
  <c r="L41" i="2"/>
  <c r="I38" i="2"/>
  <c r="H57" i="2"/>
  <c r="H54" i="2"/>
  <c r="H51" i="2"/>
  <c r="E48" i="2"/>
  <c r="E45" i="2"/>
  <c r="K41" i="2"/>
  <c r="F38" i="2"/>
  <c r="H59" i="2"/>
  <c r="I56" i="2"/>
  <c r="K53" i="2"/>
  <c r="H50" i="2"/>
  <c r="G47" i="2"/>
  <c r="M43" i="2"/>
  <c r="I40" i="2"/>
  <c r="F37" i="2"/>
  <c r="J51" i="2"/>
  <c r="E49" i="2"/>
  <c r="I46" i="2"/>
  <c r="E44" i="2"/>
  <c r="J41" i="2"/>
  <c r="E39" i="2"/>
  <c r="T5" i="2"/>
  <c r="H58" i="2"/>
  <c r="M55" i="2"/>
  <c r="H53" i="2"/>
  <c r="D51" i="2"/>
  <c r="H48" i="2"/>
  <c r="M45" i="2"/>
  <c r="H43" i="2"/>
  <c r="D41" i="2"/>
  <c r="H38" i="2"/>
  <c r="G58" i="2"/>
  <c r="L55" i="2"/>
  <c r="G53" i="2"/>
  <c r="M50" i="2"/>
  <c r="G48" i="2"/>
  <c r="L45" i="2"/>
  <c r="G43" i="2"/>
  <c r="M40" i="2"/>
  <c r="G38" i="2"/>
  <c r="L49" i="2"/>
  <c r="M44" i="2"/>
  <c r="G42" i="2"/>
  <c r="L39" i="2"/>
  <c r="E37" i="2"/>
  <c r="T17" i="2"/>
  <c r="K59" i="2"/>
  <c r="F57" i="2"/>
  <c r="L54" i="2"/>
  <c r="F52" i="2"/>
  <c r="K49" i="2"/>
  <c r="F47" i="2"/>
  <c r="L44" i="2"/>
  <c r="F42" i="2"/>
  <c r="K39" i="2"/>
  <c r="K37" i="2"/>
  <c r="J37" i="2"/>
  <c r="T9" i="2"/>
  <c r="I59" i="2"/>
  <c r="I57" i="2"/>
  <c r="I55" i="2"/>
  <c r="I53" i="2"/>
  <c r="I51" i="2"/>
  <c r="I49" i="2"/>
  <c r="I47" i="2"/>
  <c r="I45" i="2"/>
  <c r="I43" i="2"/>
  <c r="I41" i="2"/>
  <c r="I39" i="2"/>
  <c r="I37" i="2"/>
  <c r="D37" i="2"/>
  <c r="T21" i="2"/>
  <c r="K58" i="2"/>
  <c r="K56" i="2"/>
  <c r="K54" i="2"/>
  <c r="K52" i="2"/>
  <c r="K50" i="2"/>
  <c r="K48" i="2"/>
  <c r="K46" i="2"/>
  <c r="K44" i="2"/>
  <c r="K42" i="2"/>
  <c r="K40" i="2"/>
  <c r="K38" i="2"/>
  <c r="T20" i="2"/>
  <c r="J58" i="2"/>
  <c r="J56" i="2"/>
  <c r="J54" i="2"/>
  <c r="J52" i="2"/>
  <c r="J50" i="2"/>
  <c r="J48" i="2"/>
  <c r="J46" i="2"/>
  <c r="J44" i="2"/>
  <c r="J42" i="2"/>
  <c r="J40" i="2"/>
  <c r="J38" i="2"/>
  <c r="T14" i="2"/>
  <c r="D58" i="2"/>
  <c r="D56" i="2"/>
  <c r="D54" i="2"/>
  <c r="D52" i="2"/>
  <c r="D50" i="2"/>
  <c r="D48" i="2"/>
  <c r="D46" i="2"/>
  <c r="D44" i="2"/>
  <c r="D42" i="2"/>
  <c r="D40" i="2"/>
  <c r="D38" i="2"/>
  <c r="F22" i="2"/>
  <c r="S22" i="2" s="1"/>
  <c r="L24" i="2"/>
  <c r="L23" i="2"/>
  <c r="L2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25" i="2"/>
  <c r="L5" i="2"/>
  <c r="G8" i="2"/>
  <c r="V8" i="2" s="1"/>
  <c r="G9" i="2"/>
  <c r="V9" i="2" s="1"/>
  <c r="G17" i="2"/>
  <c r="V17" i="2" s="1"/>
  <c r="G13" i="2"/>
  <c r="V13" i="2" s="1"/>
  <c r="G11" i="2"/>
  <c r="V11" i="2" s="1"/>
  <c r="G16" i="2"/>
  <c r="V16" i="2" s="1"/>
  <c r="G15" i="2"/>
  <c r="V15" i="2" s="1"/>
  <c r="G14" i="2"/>
  <c r="V14" i="2" s="1"/>
  <c r="G12" i="2"/>
  <c r="V12" i="2" s="1"/>
  <c r="G10" i="2"/>
  <c r="V10" i="2" s="1"/>
  <c r="G7" i="2"/>
  <c r="V7" i="2" s="1"/>
  <c r="G6" i="2"/>
  <c r="V6" i="2" s="1"/>
  <c r="G25" i="2"/>
  <c r="V25" i="2" s="1"/>
  <c r="G5" i="2"/>
  <c r="V5" i="2" s="1"/>
  <c r="G24" i="2"/>
  <c r="V24" i="2" s="1"/>
  <c r="G23" i="2"/>
  <c r="V23" i="2" s="1"/>
  <c r="G22" i="2"/>
  <c r="V22" i="2" s="1"/>
  <c r="G21" i="2"/>
  <c r="V21" i="2" s="1"/>
  <c r="G20" i="2"/>
  <c r="V20" i="2" s="1"/>
  <c r="G19" i="2"/>
  <c r="V19" i="2" s="1"/>
  <c r="F24" i="2"/>
  <c r="S24" i="2" s="1"/>
  <c r="F9" i="2"/>
  <c r="S9" i="2" s="1"/>
  <c r="F5" i="2"/>
  <c r="S5" i="2" s="1"/>
  <c r="F25" i="2"/>
  <c r="S25" i="2" s="1"/>
  <c r="F20" i="2"/>
  <c r="S20" i="2" s="1"/>
  <c r="F19" i="2"/>
  <c r="S19" i="2" s="1"/>
  <c r="F16" i="2"/>
  <c r="S16" i="2" s="1"/>
  <c r="F15" i="2"/>
  <c r="S15" i="2" s="1"/>
  <c r="F14" i="2"/>
  <c r="S14" i="2" s="1"/>
  <c r="F13" i="2"/>
  <c r="S13" i="2" s="1"/>
  <c r="F21" i="2"/>
  <c r="S21" i="2" s="1"/>
  <c r="F8" i="2"/>
  <c r="S8" i="2" s="1"/>
  <c r="F7" i="2"/>
  <c r="S7" i="2" s="1"/>
  <c r="F6" i="2"/>
  <c r="S6" i="2" s="1"/>
  <c r="F18" i="2"/>
  <c r="S18" i="2" s="1"/>
  <c r="F17" i="2"/>
  <c r="S17" i="2" s="1"/>
  <c r="F12" i="2"/>
  <c r="S12" i="2" s="1"/>
  <c r="F11" i="2"/>
  <c r="S11" i="2" s="1"/>
  <c r="F10" i="2"/>
  <c r="S10" i="2" s="1"/>
  <c r="O12" i="2"/>
  <c r="Q12" i="2" s="1"/>
  <c r="R12" i="2" s="1"/>
  <c r="O11" i="2"/>
  <c r="Q11" i="2" s="1"/>
  <c r="R11" i="2" s="1"/>
  <c r="O10" i="2"/>
  <c r="Q10" i="2" s="1"/>
  <c r="R10" i="2" s="1"/>
  <c r="O8" i="2"/>
  <c r="Q8" i="2" s="1"/>
  <c r="R8" i="2" s="1"/>
  <c r="O9" i="2"/>
  <c r="Q9" i="2" s="1"/>
  <c r="R9" i="2" s="1"/>
  <c r="O14" i="2"/>
  <c r="Q14" i="2" s="1"/>
  <c r="R14" i="2" s="1"/>
  <c r="O7" i="2"/>
  <c r="Q7" i="2" s="1"/>
  <c r="R7" i="2" s="1"/>
  <c r="O16" i="2"/>
  <c r="Q16" i="2" s="1"/>
  <c r="R16" i="2" s="1"/>
  <c r="O15" i="2"/>
  <c r="Q15" i="2" s="1"/>
  <c r="R15" i="2" s="1"/>
  <c r="O6" i="2"/>
  <c r="Q6" i="2" s="1"/>
  <c r="R6" i="2" s="1"/>
  <c r="O25" i="2"/>
  <c r="Q25" i="2" s="1"/>
  <c r="R25" i="2" s="1"/>
  <c r="O5" i="2"/>
  <c r="Q5" i="2" s="1"/>
  <c r="R5" i="2" s="1"/>
  <c r="O18" i="2"/>
  <c r="Q18" i="2" s="1"/>
  <c r="R18" i="2" s="1"/>
  <c r="O20" i="2"/>
  <c r="Q20" i="2" s="1"/>
  <c r="R20" i="2" s="1"/>
  <c r="O17" i="2"/>
  <c r="Q17" i="2" s="1"/>
  <c r="R17" i="2" s="1"/>
  <c r="O24" i="2"/>
  <c r="Q24" i="2" s="1"/>
  <c r="R24" i="2" s="1"/>
  <c r="O23" i="2"/>
  <c r="Q23" i="2" s="1"/>
  <c r="R23" i="2" s="1"/>
  <c r="O22" i="2"/>
  <c r="Q22" i="2" s="1"/>
  <c r="R22" i="2" s="1"/>
  <c r="W21" i="2" l="1"/>
  <c r="X21" i="2" s="1"/>
  <c r="Y21" i="2" s="1"/>
  <c r="U25" i="2"/>
  <c r="W25" i="2" s="1"/>
  <c r="U14" i="2"/>
  <c r="W14" i="2" s="1"/>
  <c r="U16" i="2"/>
  <c r="W16" i="2" s="1"/>
  <c r="U22" i="2"/>
  <c r="W22" i="2" s="1"/>
  <c r="U15" i="2"/>
  <c r="W15" i="2" s="1"/>
  <c r="U17" i="2"/>
  <c r="W17" i="2" s="1"/>
  <c r="U23" i="2"/>
  <c r="W23" i="2" s="1"/>
  <c r="U18" i="2"/>
  <c r="U6" i="2"/>
  <c r="W6" i="2" s="1"/>
  <c r="U19" i="2"/>
  <c r="W19" i="2" s="1"/>
  <c r="U7" i="2"/>
  <c r="W7" i="2" s="1"/>
  <c r="U12" i="2"/>
  <c r="W12" i="2" s="1"/>
  <c r="U24" i="2"/>
  <c r="W24" i="2" s="1"/>
  <c r="U11" i="2"/>
  <c r="W11" i="2" s="1"/>
  <c r="U13" i="2"/>
  <c r="W13" i="2" s="1"/>
  <c r="U9" i="2"/>
  <c r="W9" i="2" s="1"/>
  <c r="U8" i="2"/>
  <c r="W8" i="2" s="1"/>
  <c r="U10" i="2"/>
  <c r="W10" i="2" s="1"/>
  <c r="U20" i="2"/>
  <c r="W20" i="2" s="1"/>
  <c r="U5" i="2"/>
  <c r="W5" i="2" s="1"/>
  <c r="W18" i="2" l="1"/>
  <c r="X18" i="2" s="1"/>
  <c r="Y18" i="2" s="1"/>
  <c r="X5" i="2"/>
  <c r="Y5" i="2" s="1"/>
  <c r="X10" i="2"/>
  <c r="Y10" i="2" s="1"/>
  <c r="X8" i="2"/>
  <c r="Y8" i="2" s="1"/>
  <c r="X11" i="2"/>
  <c r="Y11" i="2" s="1"/>
  <c r="X24" i="2"/>
  <c r="Y24" i="2" s="1"/>
  <c r="X12" i="2"/>
  <c r="Y12" i="2" s="1"/>
  <c r="X19" i="2"/>
  <c r="Y19" i="2" s="1"/>
  <c r="X13" i="2"/>
  <c r="Y13" i="2" s="1"/>
  <c r="X14" i="2"/>
  <c r="Y14" i="2" s="1"/>
  <c r="X25" i="2"/>
  <c r="Y25" i="2" s="1"/>
  <c r="X22" i="2"/>
  <c r="Y22" i="2" s="1"/>
  <c r="X16" i="2"/>
  <c r="Y16" i="2" s="1"/>
  <c r="X15" i="2"/>
  <c r="Y15" i="2" s="1"/>
  <c r="X20" i="2"/>
  <c r="Y20" i="2" s="1"/>
  <c r="X6" i="2"/>
  <c r="Y6" i="2" s="1"/>
  <c r="X23" i="2"/>
  <c r="Y23" i="2" s="1"/>
  <c r="X17" i="2"/>
  <c r="Y17" i="2" s="1"/>
  <c r="X7" i="2"/>
  <c r="Y7" i="2" s="1"/>
  <c r="X9" i="2"/>
  <c r="Y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<sst xmlns="http://schemas.openxmlformats.org/spreadsheetml/2006/main" count="46" uniqueCount="34">
  <si>
    <t>width_mm</t>
  </si>
  <si>
    <t>opacity</t>
  </si>
  <si>
    <t>z_min</t>
  </si>
  <si>
    <t>z_max</t>
  </si>
  <si>
    <t>viscosity</t>
  </si>
  <si>
    <t>v_max</t>
  </si>
  <si>
    <t>opacity_factor</t>
  </si>
  <si>
    <t>z_factor</t>
  </si>
  <si>
    <t>visc_factor</t>
  </si>
  <si>
    <t>speed_factor</t>
  </si>
  <si>
    <t xml:space="preserve">opacity_gamma </t>
  </si>
  <si>
    <t>min_width</t>
  </si>
  <si>
    <t>max_width</t>
  </si>
  <si>
    <t xml:space="preserve">feedrate_z_exponent </t>
  </si>
  <si>
    <t xml:space="preserve">feedrate_floor </t>
  </si>
  <si>
    <t xml:space="preserve">spray_cone_angle </t>
  </si>
  <si>
    <t>feedrate</t>
  </si>
  <si>
    <t>width_eff</t>
  </si>
  <si>
    <t>cone</t>
  </si>
  <si>
    <t>z_raw</t>
  </si>
  <si>
    <t>z</t>
  </si>
  <si>
    <t>IPS</t>
  </si>
  <si>
    <t>IPS Heatmap</t>
  </si>
  <si>
    <t xml:space="preserve">Opacity &gt; </t>
  </si>
  <si>
    <t>MM Width \/</t>
  </si>
  <si>
    <t>opacity_speed_min</t>
  </si>
  <si>
    <t>s_opacity</t>
  </si>
  <si>
    <t>width</t>
  </si>
  <si>
    <t>p_min</t>
  </si>
  <si>
    <t>p_max</t>
  </si>
  <si>
    <t>flow_width_factor</t>
  </si>
  <si>
    <t>flow_scale</t>
  </si>
  <si>
    <t>flow_offset</t>
  </si>
  <si>
    <t>Flow Heatmap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</si>
</sst>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33" borderId="0" xfId="0" applyFill="1"/>
    <xf numFmtId="0" fontId="18" fillId="34" borderId="0" xfId="0" applyFont="1" applyFill="1"/>
    <xf numFmtId="0" fontId="13" fillId="35" borderId="10" xfId="0" applyFont="1" applyFill="1" applyBorder="1"/>
    <xf numFmtId="0" fontId="19" fillId="36" borderId="0" xfId="0" applyFont="1" applyFill="1"/>
    <xf numFmtId="0" fontId="17" fillId="37" borderId="0" xfId="0" applyFont="1" applyFill="1"/>
    <xf numFmtId="0" fontId="17" fillId="38" borderId="0" xfId="0" applyFont="1" applyFill="1"/>
    <xf numFmtId="0" fontId="17" fillId="38" borderId="0" xfId="0" applyFont="1" applyFill="1" applyAlignment="1">
      <alignment horizontal="center"/>
    </xf>
    <xf numFmtId="0" fontId="17" fillId="37" borderId="0" xfId="0" applyFont="1" applyFill="1" applyAlignment="1">
      <alignment horizontal="center"/>
    </xf>
    <xf numFmtId="0" fontId="0" fillId="39" borderId="0" xfId="0" applyFill="1"/>
    <xf numFmtId="0" fontId="17" fillId="39" borderId="0" xfId="0" applyFont="1" applyFill="1" applyAlignment="1">
      <alignment horizontal="center"/>
    </xf>
    <xf numFmtId="0" fontId="13" fillId="40" borderId="0" xfId="0" applyFont="1" applyFill="1"/>
    <xf numFmtId="0" fontId="0" fillId="41" borderId="0" xfId="0" applyFill="1"/>
    <xf numFmtId="0" fontId="13" fillId="39" borderId="0" xfId="0" applyFont="1" applyFill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color theme="0"/>
        <name val="Aptos Narrow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6" fmlaLink="$B$30" horiz="1" max="99" min="1" val="74"/>
</file>

<file path=xl/ctrlProps/ctrlProp2.xml><?xml version="1.0" encoding="utf-8"?>
<formControlPr xmlns="http://schemas.microsoft.com/office/spreadsheetml/2009/9/main" objectType="Scroll" dx="26" fmlaLink="width" horiz="1" max="30" val="2"/>
</file>

<file path=xl/ctrlProps/ctrlProp3.xml><?xml version="1.0" encoding="utf-8"?>
<formControlPr xmlns="http://schemas.microsoft.com/office/spreadsheetml/2009/9/main" objectType="Scroll" dx="26" fmlaLink="v_max" horiz="1" max="24000" page="10" val="2871"/>
</file>

<file path=xl/ctrlProps/ctrlProp4.xml><?xml version="1.0" encoding="utf-8"?>
<formControlPr xmlns="http://schemas.microsoft.com/office/spreadsheetml/2009/9/main" objectType="Scroll" dx="26" fmlaLink="$B$8" horiz="1" max="200" min="1" page="10" val="149"/>
</file>

<file path=xl/ctrlProps/ctrlProp5.xml><?xml version="1.0" encoding="utf-8"?>
<formControlPr xmlns="http://schemas.microsoft.com/office/spreadsheetml/2009/9/main" objectType="Scroll" dx="26" fmlaLink="$B$11" horiz="1" max="100" min="1" page="10" val="58"/>
</file>

<file path=xl/ctrlProps/ctrlProp6.xml><?xml version="1.0" encoding="utf-8"?>
<formControlPr xmlns="http://schemas.microsoft.com/office/spreadsheetml/2009/9/main" objectType="Scroll" dx="26" fmlaLink="$B$22" horiz="1" max="200" min="1" page="10" val="26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22860</xdr:colOff>
          <xdr:row>4</xdr:row>
          <xdr:rowOff>30480</xdr:rowOff>
        </xdr:from>
        <xdr:to>
          <xdr:col>1</xdr:col>
          <xdr:colOff>2766060</xdr:colOff>
          <xdr:row>6</xdr:row>
          <xdr:rowOff>15240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30480</xdr:rowOff>
        </xdr:from>
        <xdr:to>
          <xdr:col>2</xdr:col>
          <xdr:colOff>0</xdr:colOff>
          <xdr:row>9</xdr:row>
          <xdr:rowOff>7620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7620</xdr:rowOff>
        </xdr:from>
        <xdr:to>
          <xdr:col>1</xdr:col>
          <xdr:colOff>2773680</xdr:colOff>
          <xdr:row>12</xdr:row>
          <xdr:rowOff>0</xdr:rowOff>
        </xdr:to>
        <xdr:sp macro="" textlink="">
          <xdr:nvSpPr>
            <xdr:cNvPr id="1028" name="Scroll Bar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21</xdr:row>
          <xdr:rowOff>30480</xdr:rowOff>
        </xdr:from>
        <xdr:to>
          <xdr:col>1</xdr:col>
          <xdr:colOff>2766060</xdr:colOff>
          <xdr:row>23</xdr:row>
          <xdr:rowOff>22860</xdr:rowOff>
        </xdr:to>
        <xdr:sp macro="" textlink="">
          <xdr:nvSpPr>
            <xdr:cNvPr id="1029" name="Scroll Bar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28</xdr:row>
          <xdr:rowOff>0</xdr:rowOff>
        </xdr:from>
        <xdr:to>
          <xdr:col>1</xdr:col>
          <xdr:colOff>2758440</xdr:colOff>
          <xdr:row>29</xdr:row>
          <xdr:rowOff>160020</xdr:rowOff>
        </xdr:to>
        <xdr:sp macro="" textlink="">
          <xdr:nvSpPr>
            <xdr:cNvPr id="1030" name="Scroll Ba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15240</xdr:colOff>
          <xdr:row>31</xdr:row>
          <xdr:rowOff>30480</xdr:rowOff>
        </xdr:from>
        <xdr:to>
          <xdr:col>1</xdr:col>
          <xdr:colOff>2773680</xdr:colOff>
          <xdr:row>32</xdr:row>
          <xdr:rowOff>167640</xdr:rowOff>
        </xdr:to>
        <xdr:sp macro="" textlink="">
          <xdr:nvSpPr>
            <xdr:cNvPr id="1032" name="Scroll Bar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2BD4EF-DE6C-4B48-B8EA-89EE2BDEED4E}" name="Table1" displayName="Table1" ref="C4:Y25" totalsRowShown="0">
  <autoFilter ref="C4:Y25" xr:uid="{312BD4EF-DE6C-4B48-B8EA-89EE2BDEED4E}"/>
  <tableColumns count="23">
    <tableColumn id="1" xr3:uid="{6908DEA3-616A-4A76-9AED-33A154B8692B}" name="width_mm">
      <calculatedColumnFormula>width</calculatedColumnFormula>
    </tableColumn>
    <tableColumn id="2" xr3:uid="{3E49A15C-D89E-478E-80FF-54D6DF805F8D}" name="opacity"/>
    <tableColumn id="3" xr3:uid="{B4AB4E25-73A5-42CF-8B89-3E8A124F14C4}" name="v_max" dataDxfId="12">
      <calculatedColumnFormula>v_max</calculatedColumnFormula>
    </tableColumn>
    <tableColumn id="4" xr3:uid="{D6CEE933-36F1-4282-AB40-2AE55441A8D1}" name="opacity_gamma " dataDxfId="13">
      <calculatedColumnFormula>opacity_gamma</calculatedColumnFormula>
    </tableColumn>
    <tableColumn id="5" xr3:uid="{0A028DFF-12F7-40F2-A968-25A9A5414B49}" name="viscosity" dataDxfId="14">
      <calculatedColumnFormula>viscosity</calculatedColumnFormula>
    </tableColumn>
    <tableColumn id="6" xr3:uid="{BBE28BCC-EEE0-43D7-962D-25D899D9A6EB}" name="min_width" dataDxfId="15">
      <calculatedColumnFormula>min_width</calculatedColumnFormula>
    </tableColumn>
    <tableColumn id="7" xr3:uid="{26F1E5F4-2133-4978-96DA-C7E5ED79CBB8}" name="max_width" dataDxfId="16">
      <calculatedColumnFormula>max_width</calculatedColumnFormula>
    </tableColumn>
    <tableColumn id="8" xr3:uid="{5FDA2A36-0F6C-4088-8A4C-83E463CF5B25}" name="z_min" dataDxfId="11">
      <calculatedColumnFormula>z_min</calculatedColumnFormula>
    </tableColumn>
    <tableColumn id="9" xr3:uid="{708FB954-A706-4FA2-9580-26DC4B9DFCAA}" name="z_max" dataDxfId="10">
      <calculatedColumnFormula>z_max</calculatedColumnFormula>
    </tableColumn>
    <tableColumn id="10" xr3:uid="{BA310A85-6F3B-4C94-B001-8CECB6046815}" name="feedrate_z_exponent " dataDxfId="9">
      <calculatedColumnFormula>feedrate_z_exponent</calculatedColumnFormula>
    </tableColumn>
    <tableColumn id="11" xr3:uid="{1CE0ECDF-5BCE-4A8C-8A13-F4776000FF95}" name="feedrate_floor " dataDxfId="8">
      <calculatedColumnFormula>feedrate_floor</calculatedColumnFormula>
    </tableColumn>
    <tableColumn id="12" xr3:uid="{48EB6188-CB55-4FA9-B7E7-554F1043F177}" name="spray_cone_angle " dataDxfId="7">
      <calculatedColumnFormula>spray_cone_angle</calculatedColumnFormula>
    </tableColumn>
    <tableColumn id="16" xr3:uid="{8B8B9EB4-D59D-4911-95B0-25B9681BA29D}" name="width_eff" dataDxfId="20">
      <calculatedColumnFormula>MIN(MAX(Table1[[#This Row],[width_mm]],Table1[[#This Row],[min_width]]),Table1[[#This Row],[max_width]])</calculatedColumnFormula>
    </tableColumn>
    <tableColumn id="15" xr3:uid="{98F7681E-5DE6-4DC6-B3DA-266BFAB12E8D}" name="cone" dataDxfId="19">
      <calculatedColumnFormula>TAN(RADIANS(Table1[[#This Row],[spray_cone_angle ]]/2))</calculatedColumnFormula>
    </tableColumn>
    <tableColumn id="14" xr3:uid="{FEC75162-7E2A-4FB4-AE62-A588EA02DCC5}" name="z_raw" dataDxfId="2">
      <calculatedColumnFormula>Table1[[#This Row],[width_eff]]/(2 * Table1[[#This Row],[cone]])</calculatedColumnFormula>
    </tableColumn>
    <tableColumn id="22" xr3:uid="{BE77CAF6-DC0D-49E9-8527-D247E6542C02}" name="z" dataDxfId="0">
      <calculatedColumnFormula>MIN(MAX(Table1[[#This Row],[z_raw]],Table1[[#This Row],[z_min]]),Table1[[#This Row],[z_max]])</calculatedColumnFormula>
    </tableColumn>
    <tableColumn id="17" xr3:uid="{494471F3-00B3-48C7-9C10-97EA3178F597}" name="opacity_factor" dataDxfId="1">
      <calculatedColumnFormula>(1-Table1[[#This Row],[opacity]])^Table1[[#This Row],[opacity_gamma ]]</calculatedColumnFormula>
    </tableColumn>
    <tableColumn id="24" xr3:uid="{23618EAE-F55F-4DCC-9A78-B33C69EA20C4}" name="s_opacity" dataDxfId="4">
      <calculatedColumnFormula>opacity_speed_min + (1-Table1[[#This Row],[opacity]])^opacity_gamma*(1-opacity_speed_min)</calculatedColumnFormula>
    </tableColumn>
    <tableColumn id="18" xr3:uid="{980892F6-B119-4600-8A60-777BE210B9C4}" name="z_factor" dataDxfId="18">
      <calculatedColumnFormula>(Table1[[#This Row],[z_min]]/Table1[[#This Row],[z]])^Table1[[#This Row],[feedrate_z_exponent ]]</calculatedColumnFormula>
    </tableColumn>
    <tableColumn id="21" xr3:uid="{91BEE736-2577-4BB8-AE2C-D5344AFBBC67}" name="visc_factor" dataDxfId="17">
      <calculatedColumnFormula>MAX(0,MIN(1,1-Table1[[#This Row],[viscosity]]))</calculatedColumnFormula>
    </tableColumn>
    <tableColumn id="20" xr3:uid="{0DCA5EF1-FDD7-45E6-B783-03C6080BA6D6}" name="speed_factor" dataDxfId="3">
      <calculatedColumnFormula>MAX(0,MIN(1,Table1[[#This Row],[s_opacity]]*Table1[[#This Row],[z_factor]]))*Table1[[#This Row],[visc_factor]]</calculatedColumnFormula>
    </tableColumn>
    <tableColumn id="13" xr3:uid="{53719805-1CE0-4972-9D21-0CC0200D1307}" name="feedrate" dataDxfId="6">
      <calculatedColumnFormula>MAX(Table1[[#This Row],[feedrate_floor ]],Table1[[#This Row],[v_max]]*Table1[[#This Row],[speed_factor]])</calculatedColumnFormula>
    </tableColumn>
    <tableColumn id="23" xr3:uid="{AC40DB61-EBA3-43B5-A5C0-EDEA2A7E8B63}" name="IPS" dataDxfId="5">
      <calculatedColumnFormula>Table1[[#This Row],[feedrate]]/1524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0F952-558E-40FD-B9DC-7322D9068791}">
  <dimension ref="A4:Y64"/>
  <sheetViews>
    <sheetView tabSelected="1" workbookViewId="0">
      <selection activeCell="S27" sqref="S27"/>
    </sheetView>
  </sheetViews>
  <sheetFormatPr defaultRowHeight="14.4" x14ac:dyDescent="0.3"/>
  <cols>
    <col min="1" max="1" width="18.6640625" bestFit="1" customWidth="1"/>
    <col min="2" max="2" width="40.5546875" customWidth="1"/>
    <col min="3" max="23" width="12.6640625" customWidth="1"/>
  </cols>
  <sheetData>
    <row r="4" spans="1:25" x14ac:dyDescent="0.3">
      <c r="A4" s="3" t="s">
        <v>5</v>
      </c>
      <c r="B4" s="10">
        <v>2871</v>
      </c>
      <c r="C4" t="s">
        <v>0</v>
      </c>
      <c r="D4" t="s">
        <v>1</v>
      </c>
      <c r="E4" t="s">
        <v>5</v>
      </c>
      <c r="F4" t="s">
        <v>10</v>
      </c>
      <c r="G4" t="s">
        <v>4</v>
      </c>
      <c r="H4" t="s">
        <v>11</v>
      </c>
      <c r="I4" t="s">
        <v>12</v>
      </c>
      <c r="J4" t="s">
        <v>2</v>
      </c>
      <c r="K4" t="s">
        <v>3</v>
      </c>
      <c r="L4" t="s">
        <v>13</v>
      </c>
      <c r="M4" t="s">
        <v>14</v>
      </c>
      <c r="N4" t="s">
        <v>15</v>
      </c>
      <c r="O4" t="s">
        <v>17</v>
      </c>
      <c r="P4" t="s">
        <v>18</v>
      </c>
      <c r="Q4" t="s">
        <v>19</v>
      </c>
      <c r="R4" t="s">
        <v>20</v>
      </c>
      <c r="S4" t="s">
        <v>6</v>
      </c>
      <c r="T4" t="s">
        <v>26</v>
      </c>
      <c r="U4" t="s">
        <v>7</v>
      </c>
      <c r="V4" t="s">
        <v>8</v>
      </c>
      <c r="W4" t="s">
        <v>9</v>
      </c>
      <c r="X4" t="s">
        <v>16</v>
      </c>
      <c r="Y4" t="s">
        <v>21</v>
      </c>
    </row>
    <row r="5" spans="1:25" ht="15.6" x14ac:dyDescent="0.3">
      <c r="A5" s="9"/>
      <c r="B5" s="10"/>
      <c r="C5">
        <f>width</f>
        <v>2</v>
      </c>
      <c r="D5">
        <v>0.1</v>
      </c>
      <c r="E5">
        <f>v_max</f>
        <v>2871</v>
      </c>
      <c r="F5">
        <f>opacity_gamma</f>
        <v>1.49</v>
      </c>
      <c r="G5">
        <f>viscosity</f>
        <v>0.57999999999999996</v>
      </c>
      <c r="H5">
        <f>min_width</f>
        <v>2</v>
      </c>
      <c r="I5">
        <f>max_width</f>
        <v>30</v>
      </c>
      <c r="J5">
        <f>z_min</f>
        <v>4</v>
      </c>
      <c r="K5">
        <f>z_max</f>
        <v>83</v>
      </c>
      <c r="L5">
        <f>feedrate_z_exponent</f>
        <v>0.26</v>
      </c>
      <c r="M5">
        <f>feedrate_floor</f>
        <v>20</v>
      </c>
      <c r="N5">
        <f>spray_cone_angle</f>
        <v>15</v>
      </c>
      <c r="O5" s="1">
        <f>MIN(MAX(Table1[[#This Row],[width_mm]],Table1[[#This Row],[min_width]]),Table1[[#This Row],[max_width]])</f>
        <v>2</v>
      </c>
      <c r="P5" s="1">
        <f>TAN(RADIANS(Table1[[#This Row],[spray_cone_angle ]]/2))</f>
        <v>0.13165249758739583</v>
      </c>
      <c r="Q5" s="1">
        <f>Table1[[#This Row],[width_eff]]/(2 * Table1[[#This Row],[cone]])</f>
        <v>7.5957541127251513</v>
      </c>
      <c r="R5" s="12">
        <f>MIN(MAX(Table1[[#This Row],[z_raw]],Table1[[#This Row],[z_min]]),Table1[[#This Row],[z_max]])</f>
        <v>7.5957541127251513</v>
      </c>
      <c r="S5" s="1">
        <f>(1-Table1[[#This Row],[opacity]])^Table1[[#This Row],[opacity_gamma ]]</f>
        <v>0.85471502616834227</v>
      </c>
      <c r="T5" s="1">
        <f>opacity_speed_min + (1-Table1[[#This Row],[opacity]])^opacity_gamma*(1-opacity_speed_min)</f>
        <v>0.96222590680376896</v>
      </c>
      <c r="U5" s="1">
        <f>(Table1[[#This Row],[z_min]]/Table1[[#This Row],[z]])^Table1[[#This Row],[feedrate_z_exponent ]]</f>
        <v>0.84642243167573095</v>
      </c>
      <c r="V5" s="1">
        <f>MAX(0,MIN(1,1-Table1[[#This Row],[viscosity]]))</f>
        <v>0.42000000000000004</v>
      </c>
      <c r="W5" s="1">
        <f>MAX(0,MIN(1,Table1[[#This Row],[s_opacity]]*Table1[[#This Row],[z_factor]]))*Table1[[#This Row],[visc_factor]]</f>
        <v>0.34206882858045723</v>
      </c>
      <c r="X5" s="2">
        <f>MAX(Table1[[#This Row],[feedrate_floor ]],Table1[[#This Row],[v_max]]*Table1[[#This Row],[speed_factor]])</f>
        <v>982.07960685449268</v>
      </c>
      <c r="Y5" s="4">
        <f>Table1[[#This Row],[feedrate]]/1524</f>
        <v>0.64440919084940462</v>
      </c>
    </row>
    <row r="6" spans="1:25" ht="15.6" x14ac:dyDescent="0.3">
      <c r="C6">
        <f>width</f>
        <v>2</v>
      </c>
      <c r="D6">
        <v>0.05</v>
      </c>
      <c r="E6">
        <f>v_max</f>
        <v>2871</v>
      </c>
      <c r="F6">
        <f>opacity_gamma</f>
        <v>1.49</v>
      </c>
      <c r="G6">
        <f>viscosity</f>
        <v>0.57999999999999996</v>
      </c>
      <c r="H6">
        <f>min_width</f>
        <v>2</v>
      </c>
      <c r="I6">
        <f>max_width</f>
        <v>30</v>
      </c>
      <c r="J6">
        <f>z_min</f>
        <v>4</v>
      </c>
      <c r="K6">
        <f>z_max</f>
        <v>83</v>
      </c>
      <c r="L6">
        <f>feedrate_z_exponent</f>
        <v>0.26</v>
      </c>
      <c r="M6">
        <f>feedrate_floor</f>
        <v>20</v>
      </c>
      <c r="N6">
        <f>spray_cone_angle</f>
        <v>15</v>
      </c>
      <c r="O6" s="1">
        <f>MIN(MAX(Table1[[#This Row],[width_mm]],Table1[[#This Row],[min_width]]),Table1[[#This Row],[max_width]])</f>
        <v>2</v>
      </c>
      <c r="P6" s="1">
        <f>TAN(RADIANS(Table1[[#This Row],[spray_cone_angle ]]/2))</f>
        <v>0.13165249758739583</v>
      </c>
      <c r="Q6" s="1">
        <f>Table1[[#This Row],[width_eff]]/(2 * Table1[[#This Row],[cone]])</f>
        <v>7.5957541127251513</v>
      </c>
      <c r="R6" s="12">
        <f>MIN(MAX(Table1[[#This Row],[z_raw]],Table1[[#This Row],[z_min]]),Table1[[#This Row],[z_max]])</f>
        <v>7.5957541127251513</v>
      </c>
      <c r="S6" s="1">
        <f>(1-Table1[[#This Row],[opacity]])^Table1[[#This Row],[opacity_gamma ]]</f>
        <v>0.92642053251798118</v>
      </c>
      <c r="T6" s="1">
        <f>opacity_speed_min + (1-Table1[[#This Row],[opacity]])^opacity_gamma*(1-opacity_speed_min)</f>
        <v>0.98086933845467517</v>
      </c>
      <c r="U6" s="1">
        <f>(Table1[[#This Row],[z_min]]/Table1[[#This Row],[z]])^Table1[[#This Row],[feedrate_z_exponent ]]</f>
        <v>0.84642243167573095</v>
      </c>
      <c r="V6" s="1">
        <f>MAX(0,MIN(1,1-Table1[[#This Row],[viscosity]]))</f>
        <v>0.42000000000000004</v>
      </c>
      <c r="W6" s="1">
        <f>MAX(0,MIN(1,Table1[[#This Row],[s_opacity]]*Table1[[#This Row],[z_factor]]))*Table1[[#This Row],[visc_factor]]</f>
        <v>0.34869652045660815</v>
      </c>
      <c r="X6" s="2">
        <f>MAX(Table1[[#This Row],[feedrate_floor ]],Table1[[#This Row],[v_max]]*Table1[[#This Row],[speed_factor]])</f>
        <v>1001.107710230922</v>
      </c>
      <c r="Y6" s="4">
        <f>Table1[[#This Row],[feedrate]]/1524</f>
        <v>0.6568948229861693</v>
      </c>
    </row>
    <row r="7" spans="1:25" ht="15.6" x14ac:dyDescent="0.3">
      <c r="A7" s="3" t="s">
        <v>10</v>
      </c>
      <c r="B7" s="10">
        <f>B8/100</f>
        <v>1.49</v>
      </c>
      <c r="C7">
        <f>width</f>
        <v>2</v>
      </c>
      <c r="D7">
        <v>0.1</v>
      </c>
      <c r="E7">
        <f>v_max</f>
        <v>2871</v>
      </c>
      <c r="F7">
        <f>opacity_gamma</f>
        <v>1.49</v>
      </c>
      <c r="G7">
        <f>viscosity</f>
        <v>0.57999999999999996</v>
      </c>
      <c r="H7">
        <f>min_width</f>
        <v>2</v>
      </c>
      <c r="I7">
        <f>max_width</f>
        <v>30</v>
      </c>
      <c r="J7">
        <f>z_min</f>
        <v>4</v>
      </c>
      <c r="K7">
        <f>z_max</f>
        <v>83</v>
      </c>
      <c r="L7">
        <f>feedrate_z_exponent</f>
        <v>0.26</v>
      </c>
      <c r="M7">
        <f>feedrate_floor</f>
        <v>20</v>
      </c>
      <c r="N7">
        <f>spray_cone_angle</f>
        <v>15</v>
      </c>
      <c r="O7" s="1">
        <f>MIN(MAX(Table1[[#This Row],[width_mm]],Table1[[#This Row],[min_width]]),Table1[[#This Row],[max_width]])</f>
        <v>2</v>
      </c>
      <c r="P7" s="1">
        <f>TAN(RADIANS(Table1[[#This Row],[spray_cone_angle ]]/2))</f>
        <v>0.13165249758739583</v>
      </c>
      <c r="Q7" s="1">
        <f>Table1[[#This Row],[width_eff]]/(2 * Table1[[#This Row],[cone]])</f>
        <v>7.5957541127251513</v>
      </c>
      <c r="R7" s="12">
        <f>MIN(MAX(Table1[[#This Row],[z_raw]],Table1[[#This Row],[z_min]]),Table1[[#This Row],[z_max]])</f>
        <v>7.5957541127251513</v>
      </c>
      <c r="S7" s="1">
        <f>(1-Table1[[#This Row],[opacity]])^Table1[[#This Row],[opacity_gamma ]]</f>
        <v>0.85471502616834227</v>
      </c>
      <c r="T7" s="1">
        <f>opacity_speed_min + (1-Table1[[#This Row],[opacity]])^opacity_gamma*(1-opacity_speed_min)</f>
        <v>0.96222590680376896</v>
      </c>
      <c r="U7" s="1">
        <f>(Table1[[#This Row],[z_min]]/Table1[[#This Row],[z]])^Table1[[#This Row],[feedrate_z_exponent ]]</f>
        <v>0.84642243167573095</v>
      </c>
      <c r="V7" s="1">
        <f>MAX(0,MIN(1,1-Table1[[#This Row],[viscosity]]))</f>
        <v>0.42000000000000004</v>
      </c>
      <c r="W7" s="1">
        <f>MAX(0,MIN(1,Table1[[#This Row],[s_opacity]]*Table1[[#This Row],[z_factor]]))*Table1[[#This Row],[visc_factor]]</f>
        <v>0.34206882858045723</v>
      </c>
      <c r="X7" s="2">
        <f>MAX(Table1[[#This Row],[feedrate_floor ]],Table1[[#This Row],[v_max]]*Table1[[#This Row],[speed_factor]])</f>
        <v>982.07960685449268</v>
      </c>
      <c r="Y7" s="4">
        <f>Table1[[#This Row],[feedrate]]/1524</f>
        <v>0.64440919084940462</v>
      </c>
    </row>
    <row r="8" spans="1:25" ht="15.6" x14ac:dyDescent="0.3">
      <c r="A8" s="9"/>
      <c r="B8" s="10">
        <v>149</v>
      </c>
      <c r="C8">
        <f>width</f>
        <v>2</v>
      </c>
      <c r="D8">
        <v>0.15</v>
      </c>
      <c r="E8">
        <f>v_max</f>
        <v>2871</v>
      </c>
      <c r="F8">
        <f>opacity_gamma</f>
        <v>1.49</v>
      </c>
      <c r="G8">
        <f>viscosity</f>
        <v>0.57999999999999996</v>
      </c>
      <c r="H8">
        <f>min_width</f>
        <v>2</v>
      </c>
      <c r="I8">
        <f>max_width</f>
        <v>30</v>
      </c>
      <c r="J8">
        <f>z_min</f>
        <v>4</v>
      </c>
      <c r="K8">
        <f>z_max</f>
        <v>83</v>
      </c>
      <c r="L8">
        <f>feedrate_z_exponent</f>
        <v>0.26</v>
      </c>
      <c r="M8">
        <f>feedrate_floor</f>
        <v>20</v>
      </c>
      <c r="N8">
        <f>spray_cone_angle</f>
        <v>15</v>
      </c>
      <c r="O8" s="1">
        <f>MIN(MAX(Table1[[#This Row],[width_mm]],Table1[[#This Row],[min_width]]),Table1[[#This Row],[max_width]])</f>
        <v>2</v>
      </c>
      <c r="P8" s="1">
        <f>TAN(RADIANS(Table1[[#This Row],[spray_cone_angle ]]/2))</f>
        <v>0.13165249758739583</v>
      </c>
      <c r="Q8" s="1">
        <f>Table1[[#This Row],[width_eff]]/(2 * Table1[[#This Row],[cone]])</f>
        <v>7.5957541127251513</v>
      </c>
      <c r="R8" s="12">
        <f>MIN(MAX(Table1[[#This Row],[z_raw]],Table1[[#This Row],[z_min]]),Table1[[#This Row],[z_max]])</f>
        <v>7.5957541127251513</v>
      </c>
      <c r="S8" s="1">
        <f>(1-Table1[[#This Row],[opacity]])^Table1[[#This Row],[opacity_gamma ]]</f>
        <v>0.7849359122709314</v>
      </c>
      <c r="T8" s="1">
        <f>opacity_speed_min + (1-Table1[[#This Row],[opacity]])^opacity_gamma*(1-opacity_speed_min)</f>
        <v>0.94408333719044213</v>
      </c>
      <c r="U8" s="1">
        <f>(Table1[[#This Row],[z_min]]/Table1[[#This Row],[z]])^Table1[[#This Row],[feedrate_z_exponent ]]</f>
        <v>0.84642243167573095</v>
      </c>
      <c r="V8" s="1">
        <f>MAX(0,MIN(1,1-Table1[[#This Row],[viscosity]]))</f>
        <v>0.42000000000000004</v>
      </c>
      <c r="W8" s="1">
        <f>MAX(0,MIN(1,Table1[[#This Row],[s_opacity]]*Table1[[#This Row],[z_factor]]))*Table1[[#This Row],[visc_factor]]</f>
        <v>0.33561919186709471</v>
      </c>
      <c r="X8" s="2">
        <f>MAX(Table1[[#This Row],[feedrate_floor ]],Table1[[#This Row],[v_max]]*Table1[[#This Row],[speed_factor]])</f>
        <v>963.56269985042888</v>
      </c>
      <c r="Y8" s="4">
        <f>Table1[[#This Row],[feedrate]]/1524</f>
        <v>0.6322589894031686</v>
      </c>
    </row>
    <row r="9" spans="1:25" ht="15.6" x14ac:dyDescent="0.3">
      <c r="C9">
        <f>width</f>
        <v>2</v>
      </c>
      <c r="D9">
        <v>0.2</v>
      </c>
      <c r="E9">
        <f>v_max</f>
        <v>2871</v>
      </c>
      <c r="F9">
        <f>opacity_gamma</f>
        <v>1.49</v>
      </c>
      <c r="G9">
        <f>viscosity</f>
        <v>0.57999999999999996</v>
      </c>
      <c r="H9">
        <f>min_width</f>
        <v>2</v>
      </c>
      <c r="I9">
        <f>max_width</f>
        <v>30</v>
      </c>
      <c r="J9">
        <f>z_min</f>
        <v>4</v>
      </c>
      <c r="K9">
        <f>z_max</f>
        <v>83</v>
      </c>
      <c r="L9">
        <f>feedrate_z_exponent</f>
        <v>0.26</v>
      </c>
      <c r="M9">
        <f>feedrate_floor</f>
        <v>20</v>
      </c>
      <c r="N9">
        <f>spray_cone_angle</f>
        <v>15</v>
      </c>
      <c r="O9" s="1">
        <f>MIN(MAX(Table1[[#This Row],[width_mm]],Table1[[#This Row],[min_width]]),Table1[[#This Row],[max_width]])</f>
        <v>2</v>
      </c>
      <c r="P9" s="1">
        <f>TAN(RADIANS(Table1[[#This Row],[spray_cone_angle ]]/2))</f>
        <v>0.13165249758739583</v>
      </c>
      <c r="Q9" s="1">
        <f>Table1[[#This Row],[width_eff]]/(2 * Table1[[#This Row],[cone]])</f>
        <v>7.5957541127251513</v>
      </c>
      <c r="R9" s="12">
        <f>MIN(MAX(Table1[[#This Row],[z_raw]],Table1[[#This Row],[z_min]]),Table1[[#This Row],[z_max]])</f>
        <v>7.5957541127251513</v>
      </c>
      <c r="S9" s="1">
        <f>(1-Table1[[#This Row],[opacity]])^Table1[[#This Row],[opacity_gamma ]]</f>
        <v>0.71714022085418638</v>
      </c>
      <c r="T9" s="1">
        <f>opacity_speed_min + (1-Table1[[#This Row],[opacity]])^opacity_gamma*(1-opacity_speed_min)</f>
        <v>0.92645645742208849</v>
      </c>
      <c r="U9" s="1">
        <f>(Table1[[#This Row],[z_min]]/Table1[[#This Row],[z]])^Table1[[#This Row],[feedrate_z_exponent ]]</f>
        <v>0.84642243167573095</v>
      </c>
      <c r="V9" s="1">
        <f>MAX(0,MIN(1,1-Table1[[#This Row],[viscosity]]))</f>
        <v>0.42000000000000004</v>
      </c>
      <c r="W9" s="1">
        <f>MAX(0,MIN(1,Table1[[#This Row],[s_opacity]]*Table1[[#This Row],[z_factor]]))*Table1[[#This Row],[visc_factor]]</f>
        <v>0.3293528815638127</v>
      </c>
      <c r="X9" s="2">
        <f>MAX(Table1[[#This Row],[feedrate_floor ]],Table1[[#This Row],[v_max]]*Table1[[#This Row],[speed_factor]])</f>
        <v>945.57212296970624</v>
      </c>
      <c r="Y9" s="4">
        <f>Table1[[#This Row],[feedrate]]/1524</f>
        <v>0.62045414893025341</v>
      </c>
    </row>
    <row r="10" spans="1:25" ht="15.6" x14ac:dyDescent="0.3">
      <c r="A10" s="3" t="s">
        <v>4</v>
      </c>
      <c r="B10" s="10">
        <f>B11/100</f>
        <v>0.57999999999999996</v>
      </c>
      <c r="C10">
        <f>width</f>
        <v>2</v>
      </c>
      <c r="D10">
        <v>0.25</v>
      </c>
      <c r="E10">
        <f>v_max</f>
        <v>2871</v>
      </c>
      <c r="F10">
        <f>opacity_gamma</f>
        <v>1.49</v>
      </c>
      <c r="G10">
        <f>viscosity</f>
        <v>0.57999999999999996</v>
      </c>
      <c r="H10">
        <f>min_width</f>
        <v>2</v>
      </c>
      <c r="I10">
        <f>max_width</f>
        <v>30</v>
      </c>
      <c r="J10">
        <f>z_min</f>
        <v>4</v>
      </c>
      <c r="K10">
        <f>z_max</f>
        <v>83</v>
      </c>
      <c r="L10">
        <f>feedrate_z_exponent</f>
        <v>0.26</v>
      </c>
      <c r="M10">
        <f>feedrate_floor</f>
        <v>20</v>
      </c>
      <c r="N10">
        <f>spray_cone_angle</f>
        <v>15</v>
      </c>
      <c r="O10" s="1">
        <f>MIN(MAX(Table1[[#This Row],[width_mm]],Table1[[#This Row],[min_width]]),Table1[[#This Row],[max_width]])</f>
        <v>2</v>
      </c>
      <c r="P10" s="1">
        <f>TAN(RADIANS(Table1[[#This Row],[spray_cone_angle ]]/2))</f>
        <v>0.13165249758739583</v>
      </c>
      <c r="Q10" s="1">
        <f>Table1[[#This Row],[width_eff]]/(2 * Table1[[#This Row],[cone]])</f>
        <v>7.5957541127251513</v>
      </c>
      <c r="R10" s="12">
        <f>MIN(MAX(Table1[[#This Row],[z_raw]],Table1[[#This Row],[z_min]]),Table1[[#This Row],[z_max]])</f>
        <v>7.5957541127251513</v>
      </c>
      <c r="S10" s="1">
        <f>(1-Table1[[#This Row],[opacity]])^Table1[[#This Row],[opacity_gamma ]]</f>
        <v>0.6513902930312403</v>
      </c>
      <c r="T10" s="1">
        <f>opacity_speed_min + (1-Table1[[#This Row],[opacity]])^opacity_gamma*(1-opacity_speed_min)</f>
        <v>0.90936147618812246</v>
      </c>
      <c r="U10" s="1">
        <f>(Table1[[#This Row],[z_min]]/Table1[[#This Row],[z]])^Table1[[#This Row],[feedrate_z_exponent ]]</f>
        <v>0.84642243167573095</v>
      </c>
      <c r="V10" s="1">
        <f>MAX(0,MIN(1,1-Table1[[#This Row],[viscosity]]))</f>
        <v>0.42000000000000004</v>
      </c>
      <c r="W10" s="1">
        <f>MAX(0,MIN(1,Table1[[#This Row],[s_opacity]]*Table1[[#This Row],[z_factor]]))*Table1[[#This Row],[visc_factor]]</f>
        <v>0.32327565981790085</v>
      </c>
      <c r="X10" s="2">
        <f>MAX(Table1[[#This Row],[feedrate_floor ]],Table1[[#This Row],[v_max]]*Table1[[#This Row],[speed_factor]])</f>
        <v>928.12441933719333</v>
      </c>
      <c r="Y10" s="4">
        <f>Table1[[#This Row],[feedrate]]/1524</f>
        <v>0.60900552449947065</v>
      </c>
    </row>
    <row r="11" spans="1:25" ht="15.6" x14ac:dyDescent="0.3">
      <c r="A11" s="9"/>
      <c r="B11" s="10">
        <v>58</v>
      </c>
      <c r="C11">
        <f>width</f>
        <v>2</v>
      </c>
      <c r="D11">
        <v>0.3</v>
      </c>
      <c r="E11">
        <f>v_max</f>
        <v>2871</v>
      </c>
      <c r="F11">
        <f>opacity_gamma</f>
        <v>1.49</v>
      </c>
      <c r="G11">
        <f>viscosity</f>
        <v>0.57999999999999996</v>
      </c>
      <c r="H11">
        <f>min_width</f>
        <v>2</v>
      </c>
      <c r="I11">
        <f>max_width</f>
        <v>30</v>
      </c>
      <c r="J11">
        <f>z_min</f>
        <v>4</v>
      </c>
      <c r="K11">
        <f>z_max</f>
        <v>83</v>
      </c>
      <c r="L11">
        <f>feedrate_z_exponent</f>
        <v>0.26</v>
      </c>
      <c r="M11">
        <f>feedrate_floor</f>
        <v>20</v>
      </c>
      <c r="N11">
        <f>spray_cone_angle</f>
        <v>15</v>
      </c>
      <c r="O11" s="1">
        <f>MIN(MAX(Table1[[#This Row],[width_mm]],Table1[[#This Row],[min_width]]),Table1[[#This Row],[max_width]])</f>
        <v>2</v>
      </c>
      <c r="P11" s="1">
        <f>TAN(RADIANS(Table1[[#This Row],[spray_cone_angle ]]/2))</f>
        <v>0.13165249758739583</v>
      </c>
      <c r="Q11" s="1">
        <f>Table1[[#This Row],[width_eff]]/(2 * Table1[[#This Row],[cone]])</f>
        <v>7.5957541127251513</v>
      </c>
      <c r="R11" s="12">
        <f>MIN(MAX(Table1[[#This Row],[z_raw]],Table1[[#This Row],[z_min]]),Table1[[#This Row],[z_max]])</f>
        <v>7.5957541127251513</v>
      </c>
      <c r="S11" s="1">
        <f>(1-Table1[[#This Row],[opacity]])^Table1[[#This Row],[opacity_gamma ]]</f>
        <v>0.58775465799201332</v>
      </c>
      <c r="T11" s="1">
        <f>opacity_speed_min + (1-Table1[[#This Row],[opacity]])^opacity_gamma*(1-opacity_speed_min)</f>
        <v>0.89281621107792342</v>
      </c>
      <c r="U11" s="1">
        <f>(Table1[[#This Row],[z_min]]/Table1[[#This Row],[z]])^Table1[[#This Row],[feedrate_z_exponent ]]</f>
        <v>0.84642243167573095</v>
      </c>
      <c r="V11" s="1">
        <f>MAX(0,MIN(1,1-Table1[[#This Row],[viscosity]]))</f>
        <v>0.42000000000000004</v>
      </c>
      <c r="W11" s="1">
        <f>MAX(0,MIN(1,Table1[[#This Row],[s_opacity]]*Table1[[#This Row],[z_factor]]))*Table1[[#This Row],[visc_factor]]</f>
        <v>0.31739386073643727</v>
      </c>
      <c r="X11" s="2">
        <f>MAX(Table1[[#This Row],[feedrate_floor ]],Table1[[#This Row],[v_max]]*Table1[[#This Row],[speed_factor]])</f>
        <v>911.23777417431143</v>
      </c>
      <c r="Y11" s="4">
        <f>Table1[[#This Row],[feedrate]]/1524</f>
        <v>0.59792504867080798</v>
      </c>
    </row>
    <row r="12" spans="1:25" ht="15.6" x14ac:dyDescent="0.3">
      <c r="C12">
        <f>width</f>
        <v>2</v>
      </c>
      <c r="D12">
        <v>0.35</v>
      </c>
      <c r="E12">
        <f>v_max</f>
        <v>2871</v>
      </c>
      <c r="F12">
        <f>opacity_gamma</f>
        <v>1.49</v>
      </c>
      <c r="G12">
        <f>viscosity</f>
        <v>0.57999999999999996</v>
      </c>
      <c r="H12">
        <f>min_width</f>
        <v>2</v>
      </c>
      <c r="I12">
        <f>max_width</f>
        <v>30</v>
      </c>
      <c r="J12">
        <f>z_min</f>
        <v>4</v>
      </c>
      <c r="K12">
        <f>z_max</f>
        <v>83</v>
      </c>
      <c r="L12">
        <f>feedrate_z_exponent</f>
        <v>0.26</v>
      </c>
      <c r="M12">
        <f>feedrate_floor</f>
        <v>20</v>
      </c>
      <c r="N12">
        <f>spray_cone_angle</f>
        <v>15</v>
      </c>
      <c r="O12" s="1">
        <f>MIN(MAX(Table1[[#This Row],[width_mm]],Table1[[#This Row],[min_width]]),Table1[[#This Row],[max_width]])</f>
        <v>2</v>
      </c>
      <c r="P12" s="1">
        <f>TAN(RADIANS(Table1[[#This Row],[spray_cone_angle ]]/2))</f>
        <v>0.13165249758739583</v>
      </c>
      <c r="Q12" s="1">
        <f>Table1[[#This Row],[width_eff]]/(2 * Table1[[#This Row],[cone]])</f>
        <v>7.5957541127251513</v>
      </c>
      <c r="R12" s="12">
        <f>MIN(MAX(Table1[[#This Row],[z_raw]],Table1[[#This Row],[z_min]]),Table1[[#This Row],[z_max]])</f>
        <v>7.5957541127251513</v>
      </c>
      <c r="S12" s="1">
        <f>(1-Table1[[#This Row],[opacity]])^Table1[[#This Row],[opacity_gamma ]]</f>
        <v>0.52630912698671595</v>
      </c>
      <c r="T12" s="1">
        <f>opacity_speed_min + (1-Table1[[#This Row],[opacity]])^opacity_gamma*(1-opacity_speed_min)</f>
        <v>0.87684037301654616</v>
      </c>
      <c r="U12" s="1">
        <f>(Table1[[#This Row],[z_min]]/Table1[[#This Row],[z]])^Table1[[#This Row],[feedrate_z_exponent ]]</f>
        <v>0.84642243167573095</v>
      </c>
      <c r="V12" s="1">
        <f>MAX(0,MIN(1,1-Table1[[#This Row],[viscosity]]))</f>
        <v>0.42000000000000004</v>
      </c>
      <c r="W12" s="1">
        <f>MAX(0,MIN(1,Table1[[#This Row],[s_opacity]]*Table1[[#This Row],[z_factor]]))*Table1[[#This Row],[visc_factor]]</f>
        <v>0.3117144915024504</v>
      </c>
      <c r="X12" s="2">
        <f>MAX(Table1[[#This Row],[feedrate_floor ]],Table1[[#This Row],[v_max]]*Table1[[#This Row],[speed_factor]])</f>
        <v>894.9323051035351</v>
      </c>
      <c r="Y12" s="4">
        <f>Table1[[#This Row],[feedrate]]/1524</f>
        <v>0.58722592198394696</v>
      </c>
    </row>
    <row r="13" spans="1:25" ht="15.6" x14ac:dyDescent="0.3">
      <c r="A13" s="3" t="s">
        <v>11</v>
      </c>
      <c r="B13" s="10">
        <v>2</v>
      </c>
      <c r="C13">
        <f>width</f>
        <v>2</v>
      </c>
      <c r="D13">
        <v>0.4</v>
      </c>
      <c r="E13">
        <f>v_max</f>
        <v>2871</v>
      </c>
      <c r="F13">
        <f>opacity_gamma</f>
        <v>1.49</v>
      </c>
      <c r="G13">
        <f>viscosity</f>
        <v>0.57999999999999996</v>
      </c>
      <c r="H13">
        <f>min_width</f>
        <v>2</v>
      </c>
      <c r="I13">
        <f>max_width</f>
        <v>30</v>
      </c>
      <c r="J13">
        <f>z_min</f>
        <v>4</v>
      </c>
      <c r="K13">
        <f>z_max</f>
        <v>83</v>
      </c>
      <c r="L13">
        <f>feedrate_z_exponent</f>
        <v>0.26</v>
      </c>
      <c r="M13">
        <f>feedrate_floor</f>
        <v>20</v>
      </c>
      <c r="N13">
        <f>spray_cone_angle</f>
        <v>15</v>
      </c>
      <c r="O13" s="1">
        <f>MIN(MAX(Table1[[#This Row],[width_mm]],Table1[[#This Row],[min_width]]),Table1[[#This Row],[max_width]])</f>
        <v>2</v>
      </c>
      <c r="P13" s="1">
        <f>TAN(RADIANS(Table1[[#This Row],[spray_cone_angle ]]/2))</f>
        <v>0.13165249758739583</v>
      </c>
      <c r="Q13" s="1">
        <f>Table1[[#This Row],[width_eff]]/(2 * Table1[[#This Row],[cone]])</f>
        <v>7.5957541127251513</v>
      </c>
      <c r="R13" s="12">
        <f>MIN(MAX(Table1[[#This Row],[z_raw]],Table1[[#This Row],[z_min]]),Table1[[#This Row],[z_max]])</f>
        <v>7.5957541127251513</v>
      </c>
      <c r="S13" s="1">
        <f>(1-Table1[[#This Row],[opacity]])^Table1[[#This Row],[opacity_gamma ]]</f>
        <v>0.46713817860669671</v>
      </c>
      <c r="T13" s="1">
        <f>opacity_speed_min + (1-Table1[[#This Row],[opacity]])^opacity_gamma*(1-opacity_speed_min)</f>
        <v>0.86145592643774116</v>
      </c>
      <c r="U13" s="1">
        <f>(Table1[[#This Row],[z_min]]/Table1[[#This Row],[z]])^Table1[[#This Row],[feedrate_z_exponent ]]</f>
        <v>0.84642243167573095</v>
      </c>
      <c r="V13" s="1">
        <f>MAX(0,MIN(1,1-Table1[[#This Row],[viscosity]]))</f>
        <v>0.42000000000000004</v>
      </c>
      <c r="W13" s="1">
        <f>MAX(0,MIN(1,Table1[[#This Row],[s_opacity]]*Table1[[#This Row],[z_factor]]))*Table1[[#This Row],[visc_factor]]</f>
        <v>0.30624536041549905</v>
      </c>
      <c r="X13" s="2">
        <f>MAX(Table1[[#This Row],[feedrate_floor ]],Table1[[#This Row],[v_max]]*Table1[[#This Row],[speed_factor]])</f>
        <v>879.23042975289775</v>
      </c>
      <c r="Y13" s="4">
        <f>Table1[[#This Row],[feedrate]]/1524</f>
        <v>0.57692285416856803</v>
      </c>
    </row>
    <row r="14" spans="1:25" ht="15.6" x14ac:dyDescent="0.3">
      <c r="A14" s="9"/>
      <c r="B14" s="10"/>
      <c r="C14">
        <f>width</f>
        <v>2</v>
      </c>
      <c r="D14">
        <v>0.45</v>
      </c>
      <c r="E14">
        <f>v_max</f>
        <v>2871</v>
      </c>
      <c r="F14">
        <f>opacity_gamma</f>
        <v>1.49</v>
      </c>
      <c r="G14">
        <f>viscosity</f>
        <v>0.57999999999999996</v>
      </c>
      <c r="H14">
        <f>min_width</f>
        <v>2</v>
      </c>
      <c r="I14">
        <f>max_width</f>
        <v>30</v>
      </c>
      <c r="J14">
        <f>z_min</f>
        <v>4</v>
      </c>
      <c r="K14">
        <f>z_max</f>
        <v>83</v>
      </c>
      <c r="L14">
        <f>feedrate_z_exponent</f>
        <v>0.26</v>
      </c>
      <c r="M14">
        <f>feedrate_floor</f>
        <v>20</v>
      </c>
      <c r="N14">
        <f>spray_cone_angle</f>
        <v>15</v>
      </c>
      <c r="O14" s="1">
        <f>MIN(MAX(Table1[[#This Row],[width_mm]],Table1[[#This Row],[min_width]]),Table1[[#This Row],[max_width]])</f>
        <v>2</v>
      </c>
      <c r="P14" s="1">
        <f>TAN(RADIANS(Table1[[#This Row],[spray_cone_angle ]]/2))</f>
        <v>0.13165249758739583</v>
      </c>
      <c r="Q14" s="1">
        <f>Table1[[#This Row],[width_eff]]/(2 * Table1[[#This Row],[cone]])</f>
        <v>7.5957541127251513</v>
      </c>
      <c r="R14" s="12">
        <f>MIN(MAX(Table1[[#This Row],[z_raw]],Table1[[#This Row],[z_min]]),Table1[[#This Row],[z_max]])</f>
        <v>7.5957541127251513</v>
      </c>
      <c r="S14" s="1">
        <f>(1-Table1[[#This Row],[opacity]])^Table1[[#This Row],[opacity_gamma ]]</f>
        <v>0.41033674335698256</v>
      </c>
      <c r="T14" s="1">
        <f>opacity_speed_min + (1-Table1[[#This Row],[opacity]])^opacity_gamma*(1-opacity_speed_min)</f>
        <v>0.84668755327281542</v>
      </c>
      <c r="U14" s="1">
        <f>(Table1[[#This Row],[z_min]]/Table1[[#This Row],[z]])^Table1[[#This Row],[feedrate_z_exponent ]]</f>
        <v>0.84642243167573095</v>
      </c>
      <c r="V14" s="1">
        <f>MAX(0,MIN(1,1-Table1[[#This Row],[viscosity]]))</f>
        <v>0.42000000000000004</v>
      </c>
      <c r="W14" s="1">
        <f>MAX(0,MIN(1,Table1[[#This Row],[s_opacity]]*Table1[[#This Row],[z_factor]]))*Table1[[#This Row],[visc_factor]]</f>
        <v>0.30099524183851561</v>
      </c>
      <c r="X14" s="2">
        <f>MAX(Table1[[#This Row],[feedrate_floor ]],Table1[[#This Row],[v_max]]*Table1[[#This Row],[speed_factor]])</f>
        <v>864.15733931837838</v>
      </c>
      <c r="Y14" s="4">
        <f>Table1[[#This Row],[feedrate]]/1524</f>
        <v>0.5670323748808257</v>
      </c>
    </row>
    <row r="15" spans="1:25" ht="15.6" x14ac:dyDescent="0.3">
      <c r="A15" s="3" t="s">
        <v>12</v>
      </c>
      <c r="B15" s="10">
        <v>30</v>
      </c>
      <c r="C15">
        <f>width</f>
        <v>2</v>
      </c>
      <c r="D15">
        <v>0.5</v>
      </c>
      <c r="E15">
        <f>v_max</f>
        <v>2871</v>
      </c>
      <c r="F15">
        <f>opacity_gamma</f>
        <v>1.49</v>
      </c>
      <c r="G15">
        <f>viscosity</f>
        <v>0.57999999999999996</v>
      </c>
      <c r="H15">
        <f>min_width</f>
        <v>2</v>
      </c>
      <c r="I15">
        <f>max_width</f>
        <v>30</v>
      </c>
      <c r="J15">
        <f>z_min</f>
        <v>4</v>
      </c>
      <c r="K15">
        <f>z_max</f>
        <v>83</v>
      </c>
      <c r="L15">
        <f>feedrate_z_exponent</f>
        <v>0.26</v>
      </c>
      <c r="M15">
        <f>feedrate_floor</f>
        <v>20</v>
      </c>
      <c r="N15">
        <f>spray_cone_angle</f>
        <v>15</v>
      </c>
      <c r="O15" s="1">
        <f>MIN(MAX(Table1[[#This Row],[width_mm]],Table1[[#This Row],[min_width]]),Table1[[#This Row],[max_width]])</f>
        <v>2</v>
      </c>
      <c r="P15" s="1">
        <f>TAN(RADIANS(Table1[[#This Row],[spray_cone_angle ]]/2))</f>
        <v>0.13165249758739583</v>
      </c>
      <c r="Q15" s="1">
        <f>Table1[[#This Row],[width_eff]]/(2 * Table1[[#This Row],[cone]])</f>
        <v>7.5957541127251513</v>
      </c>
      <c r="R15" s="12">
        <f>MIN(MAX(Table1[[#This Row],[z_raw]],Table1[[#This Row],[z_min]]),Table1[[#This Row],[z_max]])</f>
        <v>7.5957541127251513</v>
      </c>
      <c r="S15" s="1">
        <f>(1-Table1[[#This Row],[opacity]])^Table1[[#This Row],[opacity_gamma ]]</f>
        <v>0.35601254889926798</v>
      </c>
      <c r="T15" s="1">
        <f>opacity_speed_min + (1-Table1[[#This Row],[opacity]])^opacity_gamma*(1-opacity_speed_min)</f>
        <v>0.83256326271380965</v>
      </c>
      <c r="U15" s="1">
        <f>(Table1[[#This Row],[z_min]]/Table1[[#This Row],[z]])^Table1[[#This Row],[feedrate_z_exponent ]]</f>
        <v>0.84642243167573095</v>
      </c>
      <c r="V15" s="1">
        <f>MAX(0,MIN(1,1-Table1[[#This Row],[viscosity]]))</f>
        <v>0.42000000000000004</v>
      </c>
      <c r="W15" s="1">
        <f>MAX(0,MIN(1,Table1[[#This Row],[s_opacity]]*Table1[[#This Row],[z_factor]]))*Table1[[#This Row],[visc_factor]]</f>
        <v>0.29597409296704336</v>
      </c>
      <c r="X15" s="2">
        <f>MAX(Table1[[#This Row],[feedrate_floor ]],Table1[[#This Row],[v_max]]*Table1[[#This Row],[speed_factor]])</f>
        <v>849.74162090838149</v>
      </c>
      <c r="Y15" s="4">
        <f>Table1[[#This Row],[feedrate]]/1524</f>
        <v>0.55757324206586711</v>
      </c>
    </row>
    <row r="16" spans="1:25" ht="15.6" x14ac:dyDescent="0.3">
      <c r="A16" s="9"/>
      <c r="B16" s="10"/>
      <c r="C16">
        <f>width</f>
        <v>2</v>
      </c>
      <c r="D16">
        <v>0.55000000000000004</v>
      </c>
      <c r="E16">
        <f>v_max</f>
        <v>2871</v>
      </c>
      <c r="F16">
        <f>opacity_gamma</f>
        <v>1.49</v>
      </c>
      <c r="G16">
        <f>viscosity</f>
        <v>0.57999999999999996</v>
      </c>
      <c r="H16">
        <f>min_width</f>
        <v>2</v>
      </c>
      <c r="I16">
        <f>max_width</f>
        <v>30</v>
      </c>
      <c r="J16">
        <f>z_min</f>
        <v>4</v>
      </c>
      <c r="K16">
        <f>z_max</f>
        <v>83</v>
      </c>
      <c r="L16">
        <f>feedrate_z_exponent</f>
        <v>0.26</v>
      </c>
      <c r="M16">
        <f>feedrate_floor</f>
        <v>20</v>
      </c>
      <c r="N16">
        <f>spray_cone_angle</f>
        <v>15</v>
      </c>
      <c r="O16" s="1">
        <f>MIN(MAX(Table1[[#This Row],[width_mm]],Table1[[#This Row],[min_width]]),Table1[[#This Row],[max_width]])</f>
        <v>2</v>
      </c>
      <c r="P16" s="1">
        <f>TAN(RADIANS(Table1[[#This Row],[spray_cone_angle ]]/2))</f>
        <v>0.13165249758739583</v>
      </c>
      <c r="Q16" s="1">
        <f>Table1[[#This Row],[width_eff]]/(2 * Table1[[#This Row],[cone]])</f>
        <v>7.5957541127251513</v>
      </c>
      <c r="R16" s="12">
        <f>MIN(MAX(Table1[[#This Row],[z_raw]],Table1[[#This Row],[z_min]]),Table1[[#This Row],[z_max]])</f>
        <v>7.5957541127251513</v>
      </c>
      <c r="S16" s="1">
        <f>(1-Table1[[#This Row],[opacity]])^Table1[[#This Row],[opacity_gamma ]]</f>
        <v>0.30428927504869596</v>
      </c>
      <c r="T16" s="1">
        <f>opacity_speed_min + (1-Table1[[#This Row],[opacity]])^opacity_gamma*(1-opacity_speed_min)</f>
        <v>0.81911521151266098</v>
      </c>
      <c r="U16" s="1">
        <f>(Table1[[#This Row],[z_min]]/Table1[[#This Row],[z]])^Table1[[#This Row],[feedrate_z_exponent ]]</f>
        <v>0.84642243167573095</v>
      </c>
      <c r="V16" s="1">
        <f>MAX(0,MIN(1,1-Table1[[#This Row],[viscosity]]))</f>
        <v>0.42000000000000004</v>
      </c>
      <c r="W16" s="1">
        <f>MAX(0,MIN(1,Table1[[#This Row],[s_opacity]]*Table1[[#This Row],[z_factor]]))*Table1[[#This Row],[visc_factor]]</f>
        <v>0.29119334544347347</v>
      </c>
      <c r="X16" s="2">
        <f>MAX(Table1[[#This Row],[feedrate_floor ]],Table1[[#This Row],[v_max]]*Table1[[#This Row],[speed_factor]])</f>
        <v>836.01609476821238</v>
      </c>
      <c r="Y16" s="4">
        <f>Table1[[#This Row],[feedrate]]/1524</f>
        <v>0.54856699131772468</v>
      </c>
    </row>
    <row r="17" spans="1:25" ht="15.6" x14ac:dyDescent="0.3">
      <c r="A17" s="3" t="s">
        <v>2</v>
      </c>
      <c r="B17" s="10">
        <v>4</v>
      </c>
      <c r="C17">
        <f>width</f>
        <v>2</v>
      </c>
      <c r="D17">
        <v>0.6</v>
      </c>
      <c r="E17">
        <f>v_max</f>
        <v>2871</v>
      </c>
      <c r="F17">
        <f>opacity_gamma</f>
        <v>1.49</v>
      </c>
      <c r="G17">
        <f>viscosity</f>
        <v>0.57999999999999996</v>
      </c>
      <c r="H17">
        <f>min_width</f>
        <v>2</v>
      </c>
      <c r="I17">
        <f>max_width</f>
        <v>30</v>
      </c>
      <c r="J17">
        <f>z_min</f>
        <v>4</v>
      </c>
      <c r="K17">
        <f>z_max</f>
        <v>83</v>
      </c>
      <c r="L17">
        <f>feedrate_z_exponent</f>
        <v>0.26</v>
      </c>
      <c r="M17">
        <f>feedrate_floor</f>
        <v>20</v>
      </c>
      <c r="N17">
        <f>spray_cone_angle</f>
        <v>15</v>
      </c>
      <c r="O17" s="1">
        <f>MIN(MAX(Table1[[#This Row],[width_mm]],Table1[[#This Row],[min_width]]),Table1[[#This Row],[max_width]])</f>
        <v>2</v>
      </c>
      <c r="P17" s="1">
        <f>TAN(RADIANS(Table1[[#This Row],[spray_cone_angle ]]/2))</f>
        <v>0.13165249758739583</v>
      </c>
      <c r="Q17" s="1">
        <f>Table1[[#This Row],[width_eff]]/(2 * Table1[[#This Row],[cone]])</f>
        <v>7.5957541127251513</v>
      </c>
      <c r="R17" s="12">
        <f>MIN(MAX(Table1[[#This Row],[z_raw]],Table1[[#This Row],[z_min]]),Table1[[#This Row],[z_max]])</f>
        <v>7.5957541127251513</v>
      </c>
      <c r="S17" s="1">
        <f>(1-Table1[[#This Row],[opacity]])^Table1[[#This Row],[opacity_gamma ]]</f>
        <v>0.25531091794448285</v>
      </c>
      <c r="T17" s="1">
        <f>opacity_speed_min + (1-Table1[[#This Row],[opacity]])^opacity_gamma*(1-opacity_speed_min)</f>
        <v>0.80638083866556554</v>
      </c>
      <c r="U17" s="1">
        <f>(Table1[[#This Row],[z_min]]/Table1[[#This Row],[z]])^Table1[[#This Row],[feedrate_z_exponent ]]</f>
        <v>0.84642243167573095</v>
      </c>
      <c r="V17" s="1">
        <f>MAX(0,MIN(1,1-Table1[[#This Row],[viscosity]]))</f>
        <v>0.42000000000000004</v>
      </c>
      <c r="W17" s="1">
        <f>MAX(0,MIN(1,Table1[[#This Row],[s_opacity]]*Table1[[#This Row],[z_factor]]))*Table1[[#This Row],[visc_factor]]</f>
        <v>0.28666630873440979</v>
      </c>
      <c r="X17" s="2">
        <f>MAX(Table1[[#This Row],[feedrate_floor ]],Table1[[#This Row],[v_max]]*Table1[[#This Row],[speed_factor]])</f>
        <v>823.01897237649052</v>
      </c>
      <c r="Y17" s="4">
        <f>Table1[[#This Row],[feedrate]]/1524</f>
        <v>0.54003869578509878</v>
      </c>
    </row>
    <row r="18" spans="1:25" ht="15.6" x14ac:dyDescent="0.3">
      <c r="A18" s="9"/>
      <c r="B18" s="10"/>
      <c r="C18">
        <f>width</f>
        <v>2</v>
      </c>
      <c r="D18">
        <v>0.65</v>
      </c>
      <c r="E18">
        <f>v_max</f>
        <v>2871</v>
      </c>
      <c r="F18">
        <f>opacity_gamma</f>
        <v>1.49</v>
      </c>
      <c r="G18">
        <f>viscosity</f>
        <v>0.57999999999999996</v>
      </c>
      <c r="H18">
        <f>min_width</f>
        <v>2</v>
      </c>
      <c r="I18">
        <f>max_width</f>
        <v>30</v>
      </c>
      <c r="J18">
        <f>z_min</f>
        <v>4</v>
      </c>
      <c r="K18">
        <f>z_max</f>
        <v>83</v>
      </c>
      <c r="L18">
        <f>feedrate_z_exponent</f>
        <v>0.26</v>
      </c>
      <c r="M18">
        <f>feedrate_floor</f>
        <v>20</v>
      </c>
      <c r="N18">
        <f>spray_cone_angle</f>
        <v>15</v>
      </c>
      <c r="O18" s="1">
        <f>MIN(MAX(Table1[[#This Row],[width_mm]],Table1[[#This Row],[min_width]]),Table1[[#This Row],[max_width]])</f>
        <v>2</v>
      </c>
      <c r="P18" s="1">
        <f>TAN(RADIANS(Table1[[#This Row],[spray_cone_angle ]]/2))</f>
        <v>0.13165249758739583</v>
      </c>
      <c r="Q18" s="1">
        <f>Table1[[#This Row],[width_eff]]/(2 * Table1[[#This Row],[cone]])</f>
        <v>7.5957541127251513</v>
      </c>
      <c r="R18" s="12">
        <f>MIN(MAX(Table1[[#This Row],[z_raw]],Table1[[#This Row],[z_min]]),Table1[[#This Row],[z_max]])</f>
        <v>7.5957541127251513</v>
      </c>
      <c r="S18" s="1">
        <f>(1-Table1[[#This Row],[opacity]])^Table1[[#This Row],[opacity_gamma ]]</f>
        <v>0.20924803391915414</v>
      </c>
      <c r="T18" s="1">
        <f>opacity_speed_min + (1-Table1[[#This Row],[opacity]])^opacity_gamma*(1-opacity_speed_min)</f>
        <v>0.79440448881898007</v>
      </c>
      <c r="U18" s="1">
        <f>(Table1[[#This Row],[z_min]]/Table1[[#This Row],[z]])^Table1[[#This Row],[feedrate_z_exponent ]]</f>
        <v>0.84642243167573095</v>
      </c>
      <c r="V18" s="1">
        <f>MAX(0,MIN(1,1-Table1[[#This Row],[viscosity]]))</f>
        <v>0.42000000000000004</v>
      </c>
      <c r="W18" s="1">
        <f>MAX(0,MIN(1,Table1[[#This Row],[s_opacity]]*Table1[[#This Row],[z_factor]]))*Table1[[#This Row],[visc_factor]]</f>
        <v>0.28240874724731641</v>
      </c>
      <c r="X18" s="2">
        <f>MAX(Table1[[#This Row],[feedrate_floor ]],Table1[[#This Row],[v_max]]*Table1[[#This Row],[speed_factor]])</f>
        <v>810.79551334704536</v>
      </c>
      <c r="Y18" s="4">
        <f>Table1[[#This Row],[feedrate]]/1524</f>
        <v>0.53201805337732633</v>
      </c>
    </row>
    <row r="19" spans="1:25" ht="15.6" x14ac:dyDescent="0.3">
      <c r="A19" s="3" t="s">
        <v>3</v>
      </c>
      <c r="B19" s="10">
        <v>83</v>
      </c>
      <c r="C19">
        <f>width</f>
        <v>2</v>
      </c>
      <c r="D19">
        <v>0.7</v>
      </c>
      <c r="E19">
        <f>v_max</f>
        <v>2871</v>
      </c>
      <c r="F19">
        <f>opacity_gamma</f>
        <v>1.49</v>
      </c>
      <c r="G19">
        <f>viscosity</f>
        <v>0.57999999999999996</v>
      </c>
      <c r="H19">
        <f>min_width</f>
        <v>2</v>
      </c>
      <c r="I19">
        <f>max_width</f>
        <v>30</v>
      </c>
      <c r="J19">
        <f>z_min</f>
        <v>4</v>
      </c>
      <c r="K19">
        <f>z_max</f>
        <v>83</v>
      </c>
      <c r="L19">
        <f>feedrate_z_exponent</f>
        <v>0.26</v>
      </c>
      <c r="M19">
        <f>feedrate_floor</f>
        <v>20</v>
      </c>
      <c r="N19">
        <f>spray_cone_angle</f>
        <v>15</v>
      </c>
      <c r="O19" s="1">
        <f>MIN(MAX(Table1[[#This Row],[width_mm]],Table1[[#This Row],[min_width]]),Table1[[#This Row],[max_width]])</f>
        <v>2</v>
      </c>
      <c r="P19" s="1">
        <f>TAN(RADIANS(Table1[[#This Row],[spray_cone_angle ]]/2))</f>
        <v>0.13165249758739583</v>
      </c>
      <c r="Q19" s="1">
        <f>Table1[[#This Row],[width_eff]]/(2 * Table1[[#This Row],[cone]])</f>
        <v>7.5957541127251513</v>
      </c>
      <c r="R19" s="12">
        <f>MIN(MAX(Table1[[#This Row],[z_raw]],Table1[[#This Row],[z_min]]),Table1[[#This Row],[z_max]])</f>
        <v>7.5957541127251513</v>
      </c>
      <c r="S19" s="1">
        <f>(1-Table1[[#This Row],[opacity]])^Table1[[#This Row],[opacity_gamma ]]</f>
        <v>0.16630705365393161</v>
      </c>
      <c r="T19" s="1">
        <f>opacity_speed_min + (1-Table1[[#This Row],[opacity]])^opacity_gamma*(1-opacity_speed_min)</f>
        <v>0.78323983395002217</v>
      </c>
      <c r="U19" s="1">
        <f>(Table1[[#This Row],[z_min]]/Table1[[#This Row],[z]])^Table1[[#This Row],[feedrate_z_exponent ]]</f>
        <v>0.84642243167573095</v>
      </c>
      <c r="V19" s="1">
        <f>MAX(0,MIN(1,1-Table1[[#This Row],[viscosity]]))</f>
        <v>0.42000000000000004</v>
      </c>
      <c r="W19" s="1">
        <f>MAX(0,MIN(1,Table1[[#This Row],[s_opacity]]*Table1[[#This Row],[z_factor]]))*Table1[[#This Row],[visc_factor]]</f>
        <v>0.27843974123165488</v>
      </c>
      <c r="X19" s="2">
        <f>MAX(Table1[[#This Row],[feedrate_floor ]],Table1[[#This Row],[v_max]]*Table1[[#This Row],[speed_factor]])</f>
        <v>799.40049707608114</v>
      </c>
      <c r="Y19" s="4">
        <f>Table1[[#This Row],[feedrate]]/1524</f>
        <v>0.52454100858010577</v>
      </c>
    </row>
    <row r="20" spans="1:25" ht="15.6" x14ac:dyDescent="0.3">
      <c r="A20" s="9"/>
      <c r="B20" s="10"/>
      <c r="C20">
        <f>width</f>
        <v>2</v>
      </c>
      <c r="D20">
        <v>0.75</v>
      </c>
      <c r="E20">
        <f>v_max</f>
        <v>2871</v>
      </c>
      <c r="F20">
        <f>opacity_gamma</f>
        <v>1.49</v>
      </c>
      <c r="G20">
        <f>viscosity</f>
        <v>0.57999999999999996</v>
      </c>
      <c r="H20">
        <f>min_width</f>
        <v>2</v>
      </c>
      <c r="I20">
        <f>max_width</f>
        <v>30</v>
      </c>
      <c r="J20">
        <f>z_min</f>
        <v>4</v>
      </c>
      <c r="K20">
        <f>z_max</f>
        <v>83</v>
      </c>
      <c r="L20">
        <f>feedrate_z_exponent</f>
        <v>0.26</v>
      </c>
      <c r="M20">
        <f>feedrate_floor</f>
        <v>20</v>
      </c>
      <c r="N20">
        <f>spray_cone_angle</f>
        <v>15</v>
      </c>
      <c r="O20" s="1">
        <f>MIN(MAX(Table1[[#This Row],[width_mm]],Table1[[#This Row],[min_width]]),Table1[[#This Row],[max_width]])</f>
        <v>2</v>
      </c>
      <c r="P20" s="1">
        <f>TAN(RADIANS(Table1[[#This Row],[spray_cone_angle ]]/2))</f>
        <v>0.13165249758739583</v>
      </c>
      <c r="Q20" s="1">
        <f>Table1[[#This Row],[width_eff]]/(2 * Table1[[#This Row],[cone]])</f>
        <v>7.5957541127251513</v>
      </c>
      <c r="R20" s="12">
        <f>MIN(MAX(Table1[[#This Row],[z_raw]],Table1[[#This Row],[z_min]]),Table1[[#This Row],[z_max]])</f>
        <v>7.5957541127251513</v>
      </c>
      <c r="S20" s="1">
        <f>(1-Table1[[#This Row],[opacity]])^Table1[[#This Row],[opacity_gamma ]]</f>
        <v>0.12674493497375366</v>
      </c>
      <c r="T20" s="1">
        <f>opacity_speed_min + (1-Table1[[#This Row],[opacity]])^opacity_gamma*(1-opacity_speed_min)</f>
        <v>0.77295368309317591</v>
      </c>
      <c r="U20" s="1">
        <f>(Table1[[#This Row],[z_min]]/Table1[[#This Row],[z]])^Table1[[#This Row],[feedrate_z_exponent ]]</f>
        <v>0.84642243167573095</v>
      </c>
      <c r="V20" s="1">
        <f>MAX(0,MIN(1,1-Table1[[#This Row],[viscosity]]))</f>
        <v>0.42000000000000004</v>
      </c>
      <c r="W20" s="1">
        <f>MAX(0,MIN(1,Table1[[#This Row],[s_opacity]]*Table1[[#This Row],[z_factor]]))*Table1[[#This Row],[visc_factor]]</f>
        <v>0.2747830411269041</v>
      </c>
      <c r="X20" s="2">
        <f>MAX(Table1[[#This Row],[feedrate_floor ]],Table1[[#This Row],[v_max]]*Table1[[#This Row],[speed_factor]])</f>
        <v>788.90211107534174</v>
      </c>
      <c r="Y20" s="4">
        <f>Table1[[#This Row],[feedrate]]/1524</f>
        <v>0.5176523038552111</v>
      </c>
    </row>
    <row r="21" spans="1:25" ht="15.6" x14ac:dyDescent="0.3">
      <c r="A21" s="3" t="s">
        <v>13</v>
      </c>
      <c r="B21" s="10">
        <f>B22/100</f>
        <v>0.26</v>
      </c>
      <c r="C21">
        <f>width</f>
        <v>2</v>
      </c>
      <c r="D21">
        <v>0.8</v>
      </c>
      <c r="E21">
        <f>v_max</f>
        <v>2871</v>
      </c>
      <c r="F21">
        <f>opacity_gamma</f>
        <v>1.49</v>
      </c>
      <c r="G21">
        <f>viscosity</f>
        <v>0.57999999999999996</v>
      </c>
      <c r="H21">
        <f>min_width</f>
        <v>2</v>
      </c>
      <c r="I21">
        <f>max_width</f>
        <v>30</v>
      </c>
      <c r="J21">
        <f>z_min</f>
        <v>4</v>
      </c>
      <c r="K21">
        <f>z_max</f>
        <v>83</v>
      </c>
      <c r="L21">
        <f>feedrate_z_exponent</f>
        <v>0.26</v>
      </c>
      <c r="M21">
        <f>feedrate_floor</f>
        <v>20</v>
      </c>
      <c r="N21">
        <f>spray_cone_angle</f>
        <v>15</v>
      </c>
      <c r="O21" s="1">
        <f>MIN(MAX(Table1[[#This Row],[width_mm]],Table1[[#This Row],[min_width]]),Table1[[#This Row],[max_width]])</f>
        <v>2</v>
      </c>
      <c r="P21" s="1">
        <f>TAN(RADIANS(Table1[[#This Row],[spray_cone_angle ]]/2))</f>
        <v>0.13165249758739583</v>
      </c>
      <c r="Q21" s="1">
        <f>Table1[[#This Row],[width_eff]]/(2 * Table1[[#This Row],[cone]])</f>
        <v>7.5957541127251513</v>
      </c>
      <c r="R21" s="12">
        <f>MIN(MAX(Table1[[#This Row],[z_raw]],Table1[[#This Row],[z_min]]),Table1[[#This Row],[z_max]])</f>
        <v>7.5957541127251513</v>
      </c>
      <c r="S21" s="1">
        <f>(1-Table1[[#This Row],[opacity]])^Table1[[#This Row],[opacity_gamma ]]</f>
        <v>9.0893890659227164E-2</v>
      </c>
      <c r="T21" s="1">
        <f>opacity_speed_min + (1-Table1[[#This Row],[opacity]])^opacity_gamma*(1-opacity_speed_min)</f>
        <v>0.76363241157139905</v>
      </c>
      <c r="U21" s="1">
        <f>(Table1[[#This Row],[z_min]]/Table1[[#This Row],[z]])^Table1[[#This Row],[feedrate_z_exponent ]]</f>
        <v>0.84642243167573095</v>
      </c>
      <c r="V21" s="1">
        <f>MAX(0,MIN(1,1-Table1[[#This Row],[viscosity]]))</f>
        <v>0.42000000000000004</v>
      </c>
      <c r="W21" s="1">
        <f>MAX(0,MIN(1,Table1[[#This Row],[s_opacity]]*Table1[[#This Row],[z_factor]]))*Table1[[#This Row],[visc_factor]]</f>
        <v>0.27146935313763981</v>
      </c>
      <c r="X21" s="2">
        <f>MAX(Table1[[#This Row],[feedrate_floor ]],Table1[[#This Row],[v_max]]*Table1[[#This Row],[speed_factor]])</f>
        <v>779.38851285816395</v>
      </c>
      <c r="Y21" s="4">
        <f>Table1[[#This Row],[feedrate]]/1524</f>
        <v>0.51140978534000259</v>
      </c>
    </row>
    <row r="22" spans="1:25" ht="15.6" x14ac:dyDescent="0.3">
      <c r="A22" s="9"/>
      <c r="B22" s="10">
        <v>26</v>
      </c>
      <c r="C22">
        <f>width</f>
        <v>2</v>
      </c>
      <c r="D22">
        <v>0.85</v>
      </c>
      <c r="E22">
        <f>v_max</f>
        <v>2871</v>
      </c>
      <c r="F22">
        <f>opacity_gamma</f>
        <v>1.49</v>
      </c>
      <c r="G22">
        <f>viscosity</f>
        <v>0.57999999999999996</v>
      </c>
      <c r="H22">
        <f>min_width</f>
        <v>2</v>
      </c>
      <c r="I22">
        <f>max_width</f>
        <v>30</v>
      </c>
      <c r="J22">
        <f>z_min</f>
        <v>4</v>
      </c>
      <c r="K22">
        <f>z_max</f>
        <v>83</v>
      </c>
      <c r="L22">
        <f>feedrate_z_exponent</f>
        <v>0.26</v>
      </c>
      <c r="M22">
        <f>feedrate_floor</f>
        <v>20</v>
      </c>
      <c r="N22">
        <f>spray_cone_angle</f>
        <v>15</v>
      </c>
      <c r="O22" s="1">
        <f>MIN(MAX(Table1[[#This Row],[width_mm]],Table1[[#This Row],[min_width]]),Table1[[#This Row],[max_width]])</f>
        <v>2</v>
      </c>
      <c r="P22" s="1">
        <f>TAN(RADIANS(Table1[[#This Row],[spray_cone_angle ]]/2))</f>
        <v>0.13165249758739583</v>
      </c>
      <c r="Q22" s="1">
        <f>Table1[[#This Row],[width_eff]]/(2 * Table1[[#This Row],[cone]])</f>
        <v>7.5957541127251513</v>
      </c>
      <c r="R22" s="12">
        <f>MIN(MAX(Table1[[#This Row],[z_raw]],Table1[[#This Row],[z_min]]),Table1[[#This Row],[z_max]])</f>
        <v>7.5957541127251513</v>
      </c>
      <c r="S22" s="1">
        <f>(1-Table1[[#This Row],[opacity]])^Table1[[#This Row],[opacity_gamma ]]</f>
        <v>5.9207398071263524E-2</v>
      </c>
      <c r="T22" s="1">
        <f>opacity_speed_min + (1-Table1[[#This Row],[opacity]])^opacity_gamma*(1-opacity_speed_min)</f>
        <v>0.75539392349852852</v>
      </c>
      <c r="U22" s="1">
        <f>(Table1[[#This Row],[z_min]]/Table1[[#This Row],[z]])^Table1[[#This Row],[feedrate_z_exponent ]]</f>
        <v>0.84642243167573095</v>
      </c>
      <c r="V22" s="1">
        <f>MAX(0,MIN(1,1-Table1[[#This Row],[viscosity]]))</f>
        <v>0.42000000000000004</v>
      </c>
      <c r="W22" s="1">
        <f>MAX(0,MIN(1,Table1[[#This Row],[s_opacity]]*Table1[[#This Row],[z_factor]]))*Table1[[#This Row],[visc_factor]]</f>
        <v>0.26854059187229218</v>
      </c>
      <c r="X22" s="2">
        <f>MAX(Table1[[#This Row],[feedrate_floor ]],Table1[[#This Row],[v_max]]*Table1[[#This Row],[speed_factor]])</f>
        <v>770.9800392653508</v>
      </c>
      <c r="Y22" s="4">
        <f>Table1[[#This Row],[feedrate]]/1524</f>
        <v>0.50589241421610942</v>
      </c>
    </row>
    <row r="23" spans="1:25" ht="15.6" x14ac:dyDescent="0.3">
      <c r="C23">
        <f>width</f>
        <v>2</v>
      </c>
      <c r="D23">
        <v>0.9</v>
      </c>
      <c r="E23">
        <f>v_max</f>
        <v>2871</v>
      </c>
      <c r="F23">
        <f>opacity_gamma</f>
        <v>1.49</v>
      </c>
      <c r="G23">
        <f>viscosity</f>
        <v>0.57999999999999996</v>
      </c>
      <c r="H23">
        <f>min_width</f>
        <v>2</v>
      </c>
      <c r="I23">
        <f>max_width</f>
        <v>30</v>
      </c>
      <c r="J23">
        <f>z_min</f>
        <v>4</v>
      </c>
      <c r="K23">
        <f>z_max</f>
        <v>83</v>
      </c>
      <c r="L23">
        <f>feedrate_z_exponent</f>
        <v>0.26</v>
      </c>
      <c r="M23">
        <f>feedrate_floor</f>
        <v>20</v>
      </c>
      <c r="N23">
        <f>spray_cone_angle</f>
        <v>15</v>
      </c>
      <c r="O23" s="1">
        <f>MIN(MAX(Table1[[#This Row],[width_mm]],Table1[[#This Row],[min_width]]),Table1[[#This Row],[max_width]])</f>
        <v>2</v>
      </c>
      <c r="P23" s="1">
        <f>TAN(RADIANS(Table1[[#This Row],[spray_cone_angle ]]/2))</f>
        <v>0.13165249758739583</v>
      </c>
      <c r="Q23" s="1">
        <f>Table1[[#This Row],[width_eff]]/(2 * Table1[[#This Row],[cone]])</f>
        <v>7.5957541127251513</v>
      </c>
      <c r="R23" s="12">
        <f>MIN(MAX(Table1[[#This Row],[z_raw]],Table1[[#This Row],[z_min]]),Table1[[#This Row],[z_max]])</f>
        <v>7.5957541127251513</v>
      </c>
      <c r="S23" s="1">
        <f>(1-Table1[[#This Row],[opacity]])^Table1[[#This Row],[opacity_gamma ]]</f>
        <v>3.2359365692962813E-2</v>
      </c>
      <c r="T23" s="1">
        <f>opacity_speed_min + (1-Table1[[#This Row],[opacity]])^opacity_gamma*(1-opacity_speed_min)</f>
        <v>0.74841343508017033</v>
      </c>
      <c r="U23" s="1">
        <f>(Table1[[#This Row],[z_min]]/Table1[[#This Row],[z]])^Table1[[#This Row],[feedrate_z_exponent ]]</f>
        <v>0.84642243167573095</v>
      </c>
      <c r="V23" s="1">
        <f>MAX(0,MIN(1,1-Table1[[#This Row],[viscosity]]))</f>
        <v>0.42000000000000004</v>
      </c>
      <c r="W23" s="1">
        <f>MAX(0,MIN(1,Table1[[#This Row],[s_opacity]]*Table1[[#This Row],[z_factor]]))*Table1[[#This Row],[visc_factor]]</f>
        <v>0.26605904624012472</v>
      </c>
      <c r="X23" s="2">
        <f>MAX(Table1[[#This Row],[feedrate_floor ]],Table1[[#This Row],[v_max]]*Table1[[#This Row],[speed_factor]])</f>
        <v>763.85552175539806</v>
      </c>
      <c r="Y23" s="4">
        <f>Table1[[#This Row],[feedrate]]/1524</f>
        <v>0.50121753396023494</v>
      </c>
    </row>
    <row r="24" spans="1:25" ht="15.6" x14ac:dyDescent="0.3">
      <c r="A24" s="3" t="s">
        <v>14</v>
      </c>
      <c r="B24" s="10">
        <v>20</v>
      </c>
      <c r="C24">
        <f>width</f>
        <v>2</v>
      </c>
      <c r="D24">
        <v>0.95</v>
      </c>
      <c r="E24">
        <f>v_max</f>
        <v>2871</v>
      </c>
      <c r="F24">
        <f>opacity_gamma</f>
        <v>1.49</v>
      </c>
      <c r="G24">
        <f>viscosity</f>
        <v>0.57999999999999996</v>
      </c>
      <c r="H24">
        <f>min_width</f>
        <v>2</v>
      </c>
      <c r="I24">
        <f>max_width</f>
        <v>30</v>
      </c>
      <c r="J24">
        <f>z_min</f>
        <v>4</v>
      </c>
      <c r="K24">
        <f>z_max</f>
        <v>83</v>
      </c>
      <c r="L24">
        <f>feedrate_z_exponent</f>
        <v>0.26</v>
      </c>
      <c r="M24">
        <f>feedrate_floor</f>
        <v>20</v>
      </c>
      <c r="N24">
        <f>spray_cone_angle</f>
        <v>15</v>
      </c>
      <c r="O24" s="1">
        <f>MIN(MAX(Table1[[#This Row],[width_mm]],Table1[[#This Row],[min_width]]),Table1[[#This Row],[max_width]])</f>
        <v>2</v>
      </c>
      <c r="P24" s="1">
        <f>TAN(RADIANS(Table1[[#This Row],[spray_cone_angle ]]/2))</f>
        <v>0.13165249758739583</v>
      </c>
      <c r="Q24" s="1">
        <f>Table1[[#This Row],[width_eff]]/(2 * Table1[[#This Row],[cone]])</f>
        <v>7.5957541127251513</v>
      </c>
      <c r="R24" s="12">
        <f>MIN(MAX(Table1[[#This Row],[z_raw]],Table1[[#This Row],[z_min]]),Table1[[#This Row],[z_max]])</f>
        <v>7.5957541127251513</v>
      </c>
      <c r="S24" s="1">
        <f>(1-Table1[[#This Row],[opacity]])^Table1[[#This Row],[opacity_gamma ]]</f>
        <v>1.1520340261115244E-2</v>
      </c>
      <c r="T24" s="1">
        <f>opacity_speed_min + (1-Table1[[#This Row],[opacity]])^opacity_gamma*(1-opacity_speed_min)</f>
        <v>0.74299528846788998</v>
      </c>
      <c r="U24" s="1">
        <f>(Table1[[#This Row],[z_min]]/Table1[[#This Row],[z]])^Table1[[#This Row],[feedrate_z_exponent ]]</f>
        <v>0.84642243167573095</v>
      </c>
      <c r="V24" s="1">
        <f>MAX(0,MIN(1,1-Table1[[#This Row],[viscosity]]))</f>
        <v>0.42000000000000004</v>
      </c>
      <c r="W24" s="1">
        <f>MAX(0,MIN(1,Table1[[#This Row],[s_opacity]]*Table1[[#This Row],[z_factor]]))*Table1[[#This Row],[visc_factor]]</f>
        <v>0.26413290909121312</v>
      </c>
      <c r="X24" s="2">
        <f>MAX(Table1[[#This Row],[feedrate_floor ]],Table1[[#This Row],[v_max]]*Table1[[#This Row],[speed_factor]])</f>
        <v>758.32558200087283</v>
      </c>
      <c r="Y24" s="4">
        <f>Table1[[#This Row],[feedrate]]/1524</f>
        <v>0.49758896456750185</v>
      </c>
    </row>
    <row r="25" spans="1:25" ht="15.6" x14ac:dyDescent="0.3">
      <c r="A25" s="9"/>
      <c r="B25" s="10"/>
      <c r="C25">
        <f>width</f>
        <v>2</v>
      </c>
      <c r="D25">
        <v>0.99</v>
      </c>
      <c r="E25">
        <f>v_max</f>
        <v>2871</v>
      </c>
      <c r="F25">
        <f>opacity_gamma</f>
        <v>1.49</v>
      </c>
      <c r="G25">
        <f>viscosity</f>
        <v>0.57999999999999996</v>
      </c>
      <c r="H25">
        <f>min_width</f>
        <v>2</v>
      </c>
      <c r="I25">
        <f>max_width</f>
        <v>30</v>
      </c>
      <c r="J25">
        <f>z_min</f>
        <v>4</v>
      </c>
      <c r="K25">
        <f>z_max</f>
        <v>83</v>
      </c>
      <c r="L25">
        <f>feedrate_z_exponent</f>
        <v>0.26</v>
      </c>
      <c r="M25">
        <f>feedrate_floor</f>
        <v>20</v>
      </c>
      <c r="N25">
        <f>spray_cone_angle</f>
        <v>15</v>
      </c>
      <c r="O25" s="1">
        <f>MIN(MAX(Table1[[#This Row],[width_mm]],Table1[[#This Row],[min_width]]),Table1[[#This Row],[max_width]])</f>
        <v>2</v>
      </c>
      <c r="P25" s="1">
        <f>TAN(RADIANS(Table1[[#This Row],[spray_cone_angle ]]/2))</f>
        <v>0.13165249758739583</v>
      </c>
      <c r="Q25" s="1">
        <f>Table1[[#This Row],[width_eff]]/(2 * Table1[[#This Row],[cone]])</f>
        <v>7.5957541127251513</v>
      </c>
      <c r="R25" s="12">
        <f>MIN(MAX(Table1[[#This Row],[z_raw]],Table1[[#This Row],[z_min]]),Table1[[#This Row],[z_max]])</f>
        <v>7.5957541127251513</v>
      </c>
      <c r="S25" s="1">
        <f>(1-Table1[[#This Row],[opacity]])^Table1[[#This Row],[opacity_gamma ]]</f>
        <v>1.0471285480509005E-3</v>
      </c>
      <c r="T25" s="1">
        <f>opacity_speed_min + (1-Table1[[#This Row],[opacity]])^opacity_gamma*(1-opacity_speed_min)</f>
        <v>0.74027225342249325</v>
      </c>
      <c r="U25" s="1">
        <f>(Table1[[#This Row],[z_min]]/Table1[[#This Row],[z]])^Table1[[#This Row],[feedrate_z_exponent ]]</f>
        <v>0.84642243167573095</v>
      </c>
      <c r="V25" s="1">
        <f>MAX(0,MIN(1,1-Table1[[#This Row],[viscosity]]))</f>
        <v>0.42000000000000004</v>
      </c>
      <c r="W25" s="1">
        <f>MAX(0,MIN(1,Table1[[#This Row],[s_opacity]]*Table1[[#This Row],[z_factor]]))*Table1[[#This Row],[visc_factor]]</f>
        <v>0.26316487715445469</v>
      </c>
      <c r="X25" s="2">
        <f>MAX(Table1[[#This Row],[feedrate_floor ]],Table1[[#This Row],[v_max]]*Table1[[#This Row],[speed_factor]])</f>
        <v>755.54636231043946</v>
      </c>
      <c r="Y25" s="4">
        <f>Table1[[#This Row],[feedrate]]/1524</f>
        <v>0.49576532960002589</v>
      </c>
    </row>
    <row r="26" spans="1:25" x14ac:dyDescent="0.3">
      <c r="A26" s="3" t="s">
        <v>15</v>
      </c>
      <c r="B26" s="10">
        <v>15</v>
      </c>
    </row>
    <row r="27" spans="1:25" x14ac:dyDescent="0.3">
      <c r="A27" s="9"/>
      <c r="B27" s="10"/>
    </row>
    <row r="28" spans="1:25" x14ac:dyDescent="0.3">
      <c r="A28" s="11" t="s">
        <v>25</v>
      </c>
      <c r="B28" s="10">
        <f>B30/100</f>
        <v>0.74</v>
      </c>
    </row>
    <row r="29" spans="1:25" x14ac:dyDescent="0.3">
      <c r="A29" s="9"/>
      <c r="B29" s="10"/>
    </row>
    <row r="30" spans="1:25" x14ac:dyDescent="0.3">
      <c r="A30" s="9"/>
      <c r="B30" s="10">
        <v>74</v>
      </c>
    </row>
    <row r="31" spans="1:25" x14ac:dyDescent="0.3">
      <c r="A31" s="11" t="s">
        <v>27</v>
      </c>
      <c r="B31" s="10">
        <v>2</v>
      </c>
    </row>
    <row r="32" spans="1:25" x14ac:dyDescent="0.3">
      <c r="A32" s="9"/>
      <c r="B32" s="10"/>
    </row>
    <row r="33" spans="1:25" ht="21" x14ac:dyDescent="0.4">
      <c r="A33" s="9"/>
      <c r="B33" s="10"/>
      <c r="C33" s="14" t="s">
        <v>22</v>
      </c>
      <c r="O33" s="14" t="s">
        <v>33</v>
      </c>
    </row>
    <row r="34" spans="1:25" x14ac:dyDescent="0.3">
      <c r="A34" s="11" t="s">
        <v>28</v>
      </c>
      <c r="B34" s="10">
        <v>0.1</v>
      </c>
      <c r="C34" s="5" t="s">
        <v>23</v>
      </c>
      <c r="D34" s="5"/>
      <c r="E34" s="5"/>
      <c r="F34" s="5"/>
      <c r="G34" s="5"/>
      <c r="H34" s="5"/>
      <c r="I34" s="5"/>
      <c r="J34" s="5"/>
      <c r="K34" s="5"/>
      <c r="L34" s="5"/>
      <c r="M34" s="5"/>
      <c r="O34" s="5" t="s">
        <v>23</v>
      </c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x14ac:dyDescent="0.3">
      <c r="A35" s="13"/>
      <c r="B35" s="10"/>
      <c r="C35" s="6" t="s">
        <v>24</v>
      </c>
      <c r="D35" s="8">
        <v>0.1</v>
      </c>
      <c r="E35" s="8">
        <v>0.2</v>
      </c>
      <c r="F35" s="8">
        <v>0.3</v>
      </c>
      <c r="G35" s="8">
        <v>0.4</v>
      </c>
      <c r="H35" s="8">
        <v>0.5</v>
      </c>
      <c r="I35" s="8">
        <v>0.6</v>
      </c>
      <c r="J35" s="8">
        <v>0.7</v>
      </c>
      <c r="K35" s="8">
        <v>0.8</v>
      </c>
      <c r="L35" s="8">
        <v>0.9</v>
      </c>
      <c r="M35" s="8">
        <v>0.99990000000000001</v>
      </c>
      <c r="O35" s="6" t="s">
        <v>24</v>
      </c>
      <c r="P35" s="8">
        <v>0.1</v>
      </c>
      <c r="Q35" s="8">
        <v>0.2</v>
      </c>
      <c r="R35" s="8">
        <v>0.3</v>
      </c>
      <c r="S35" s="8">
        <v>0.4</v>
      </c>
      <c r="T35" s="8">
        <v>0.5</v>
      </c>
      <c r="U35" s="8">
        <v>0.6</v>
      </c>
      <c r="V35" s="8">
        <v>0.7</v>
      </c>
      <c r="W35" s="8">
        <v>0.8</v>
      </c>
      <c r="X35" s="8">
        <v>0.9</v>
      </c>
      <c r="Y35" s="8">
        <v>0.99990000000000001</v>
      </c>
    </row>
    <row r="36" spans="1:25" x14ac:dyDescent="0.3">
      <c r="A36" s="11" t="s">
        <v>29</v>
      </c>
      <c r="B36" s="10">
        <v>1</v>
      </c>
      <c r="C36" s="7">
        <v>2</v>
      </c>
      <c r="D36">
        <f>_xlfn.LET(
 _xlpm.w, MIN(MAX($C36,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0.64440919084940462</v>
      </c>
      <c r="E36">
        <f>_xlfn.LET(
 _xlpm.w, MIN(MAX($C36,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0.62045414893025341</v>
      </c>
      <c r="F36">
        <f>_xlfn.LET(
 _xlpm.w, MIN(MAX($C36,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0.59792504867080798</v>
      </c>
      <c r="G36">
        <f>_xlfn.LET(
 _xlpm.w, MIN(MAX($C36,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0.57692285416856803</v>
      </c>
      <c r="H36">
        <f>_xlfn.LET(
 _xlpm.w, MIN(MAX($C36,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0.55757324206586711</v>
      </c>
      <c r="I36">
        <f>_xlfn.LET(
 _xlpm.w, MIN(MAX($C36,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0.54003869578509878</v>
      </c>
      <c r="J36">
        <f>_xlfn.LET(
 _xlpm.w, MIN(MAX($C36,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0.52454100858010577</v>
      </c>
      <c r="K36">
        <f>_xlfn.LET(
 _xlpm.w, MIN(MAX($C36,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0.51140978534000259</v>
      </c>
      <c r="L36">
        <f>_xlfn.LET(
 _xlpm.w, MIN(MAX($C36,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0.50121753396023494</v>
      </c>
      <c r="M36">
        <f>_xlfn.LET(
 _xlpm.w, MIN(MAX($C36,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0.49558319056646577</v>
      </c>
      <c r="O36" s="7">
        <v>2</v>
      </c>
      <c r="P36" cm="1">
        <f t="array" ref="P36">_xlfn.LET(
 _xlpm.w, MIN(MAX($O36,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0.25208000000000003</v>
      </c>
      <c r="Q36" cm="1">
        <f t="array" ref="Q36">_xlfn.LET(
 _xlpm.w, MIN(MAX($O36,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0.35396000000000005</v>
      </c>
      <c r="R36" cm="1">
        <f t="array" ref="R36">_xlfn.LET(
 _xlpm.w, MIN(MAX($O36,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0.45584000000000002</v>
      </c>
      <c r="S36" cm="1">
        <f t="array" ref="S36">_xlfn.LET(
 _xlpm.w, MIN(MAX($O36,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0.55772000000000022</v>
      </c>
      <c r="T36" cm="1">
        <f t="array" ref="T36">_xlfn.LET(
 _xlpm.w, MIN(MAX($O36,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0.65960000000000019</v>
      </c>
      <c r="U36" cm="1">
        <f t="array" ref="U36">_xlfn.LET(
 _xlpm.w, MIN(MAX($O36,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0.76148000000000016</v>
      </c>
      <c r="V36" cm="1">
        <f t="array" ref="V36">_xlfn.LET(
 _xlpm.w, MIN(MAX($O36,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0.86336000000000013</v>
      </c>
      <c r="W36" cm="1">
        <f t="array" ref="W36">_xlfn.LET(
 _xlpm.w, MIN(MAX($O36,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0.96524000000000021</v>
      </c>
      <c r="X36" cm="1">
        <f t="array" ref="X36">_xlfn.LET(
 _xlpm.w, MIN(MAX($O36,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36" cm="1">
        <f t="array" ref="Y36">_xlfn.LET(
 _xlpm.w, MIN(MAX($O36,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37" spans="1:25" x14ac:dyDescent="0.3">
      <c r="A37" s="13"/>
      <c r="B37" s="10"/>
      <c r="C37" s="7">
        <v>3</v>
      </c>
      <c r="D37">
        <f>_xlfn.LET(
 _xlpm.w, MIN(MAX($C37,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0.57993323551839615</v>
      </c>
      <c r="E37">
        <f>_xlfn.LET(
 _xlpm.w, MIN(MAX($C37,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0.55837500021631969</v>
      </c>
      <c r="F37">
        <f>_xlfn.LET(
 _xlpm.w, MIN(MAX($C37,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0.53810003488015345</v>
      </c>
      <c r="G37">
        <f>_xlfn.LET(
 _xlpm.w, MIN(MAX($C37,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0.51919920170827372</v>
      </c>
      <c r="H37">
        <f>_xlfn.LET(
 _xlpm.w, MIN(MAX($C37,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0.5017856028457961</v>
      </c>
      <c r="I37">
        <f>_xlfn.LET(
 _xlpm.w, MIN(MAX($C37,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0.4860054645387224</v>
      </c>
      <c r="J37">
        <f>_xlfn.LET(
 _xlpm.w, MIN(MAX($C37,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0.47205838865670868</v>
      </c>
      <c r="K37">
        <f>_xlfn.LET(
 _xlpm.w, MIN(MAX($C37,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0.46024100167948456</v>
      </c>
      <c r="L37">
        <f>_xlfn.LET(
 _xlpm.w, MIN(MAX($C37,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0.45106852958594673</v>
      </c>
      <c r="M37">
        <f>_xlfn.LET(
 _xlpm.w, MIN(MAX($C37,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0.44599792686834222</v>
      </c>
      <c r="O37" s="7">
        <v>3</v>
      </c>
      <c r="P37" cm="1">
        <f t="array" ref="P37">_xlfn.LET(
 _xlpm.w, MIN(MAX($O37,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0.25410142857142859</v>
      </c>
      <c r="Q37" cm="1">
        <f t="array" ref="Q37">_xlfn.LET(
 _xlpm.w, MIN(MAX($O37,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0.35598142857142862</v>
      </c>
      <c r="R37" cm="1">
        <f t="array" ref="R37">_xlfn.LET(
 _xlpm.w, MIN(MAX($O37,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0.45786142857142859</v>
      </c>
      <c r="S37" cm="1">
        <f t="array" ref="S37">_xlfn.LET(
 _xlpm.w, MIN(MAX($O37,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0.55974142857142872</v>
      </c>
      <c r="T37" cm="1">
        <f t="array" ref="T37">_xlfn.LET(
 _xlpm.w, MIN(MAX($O37,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0.66162142857142869</v>
      </c>
      <c r="U37" cm="1">
        <f t="array" ref="U37">_xlfn.LET(
 _xlpm.w, MIN(MAX($O37,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0.76350142857142866</v>
      </c>
      <c r="V37" cm="1">
        <f t="array" ref="V37">_xlfn.LET(
 _xlpm.w, MIN(MAX($O37,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0.86538142857142863</v>
      </c>
      <c r="W37" cm="1">
        <f t="array" ref="W37">_xlfn.LET(
 _xlpm.w, MIN(MAX($O37,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0.96726142857142872</v>
      </c>
      <c r="X37" cm="1">
        <f t="array" ref="X37">_xlfn.LET(
 _xlpm.w, MIN(MAX($O37,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37" cm="1">
        <f t="array" ref="Y37">_xlfn.LET(
 _xlpm.w, MIN(MAX($O37,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38" spans="1:25" x14ac:dyDescent="0.3">
      <c r="A38" s="11" t="s">
        <v>30</v>
      </c>
      <c r="B38" s="10">
        <v>0.05</v>
      </c>
      <c r="C38" s="7">
        <v>4</v>
      </c>
      <c r="D38">
        <f>_xlfn.LET(
 _xlpm.w, MIN(MAX($C38,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0.53813833044694837</v>
      </c>
      <c r="E38">
        <f>_xlfn.LET(
 _xlpm.w, MIN(MAX($C38,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0.51813376433086511</v>
      </c>
      <c r="F38">
        <f>_xlfn.LET(
 _xlpm.w, MIN(MAX($C38,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0.49931998486861157</v>
      </c>
      <c r="G38">
        <f>_xlfn.LET(
 _xlpm.w, MIN(MAX($C38,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0.48178130595830615</v>
      </c>
      <c r="H38">
        <f>_xlfn.LET(
 _xlpm.w, MIN(MAX($C38,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0.46562267864571555</v>
      </c>
      <c r="I38">
        <f>_xlfn.LET(
 _xlpm.w, MIN(MAX($C38,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0.45097979087398832</v>
      </c>
      <c r="J38">
        <f>_xlfn.LET(
 _xlpm.w, MIN(MAX($C38,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0.438037859510019</v>
      </c>
      <c r="K38">
        <f>_xlfn.LET(
 _xlpm.w, MIN(MAX($C38,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0.42707213361489171</v>
      </c>
      <c r="L38">
        <f>_xlfn.LET(
 _xlpm.w, MIN(MAX($C38,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0.41856070761587072</v>
      </c>
      <c r="M38">
        <f>_xlfn.LET(
 _xlpm.w, MIN(MAX($C38,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0.41385553551382298</v>
      </c>
      <c r="O38" s="7">
        <v>4</v>
      </c>
      <c r="P38" cm="1">
        <f t="array" ref="P38">_xlfn.LET(
 _xlpm.w, MIN(MAX($O38,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0.25612285714285715</v>
      </c>
      <c r="Q38" cm="1">
        <f t="array" ref="Q38">_xlfn.LET(
 _xlpm.w, MIN(MAX($O38,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0.35800285714285718</v>
      </c>
      <c r="R38" cm="1">
        <f t="array" ref="R38">_xlfn.LET(
 _xlpm.w, MIN(MAX($O38,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0.45988285714285715</v>
      </c>
      <c r="S38" cm="1">
        <f t="array" ref="S38">_xlfn.LET(
 _xlpm.w, MIN(MAX($O38,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0.56176285714285734</v>
      </c>
      <c r="T38" cm="1">
        <f t="array" ref="T38">_xlfn.LET(
 _xlpm.w, MIN(MAX($O38,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0.66364285714285731</v>
      </c>
      <c r="U38" cm="1">
        <f t="array" ref="U38">_xlfn.LET(
 _xlpm.w, MIN(MAX($O38,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0.76552285714285728</v>
      </c>
      <c r="V38" cm="1">
        <f t="array" ref="V38">_xlfn.LET(
 _xlpm.w, MIN(MAX($O38,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0.86740285714285725</v>
      </c>
      <c r="W38" cm="1">
        <f t="array" ref="W38">_xlfn.LET(
 _xlpm.w, MIN(MAX($O38,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0.96928285714285733</v>
      </c>
      <c r="X38" cm="1">
        <f t="array" ref="X38">_xlfn.LET(
 _xlpm.w, MIN(MAX($O38,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38" cm="1">
        <f t="array" ref="Y38">_xlfn.LET(
 _xlpm.w, MIN(MAX($O38,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39" spans="1:25" x14ac:dyDescent="0.3">
      <c r="A39" s="13"/>
      <c r="B39" s="10"/>
      <c r="C39" s="7">
        <v>5</v>
      </c>
      <c r="D39">
        <f>_xlfn.LET(
 _xlpm.w, MIN(MAX($C39,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0.50780541027715653</v>
      </c>
      <c r="E39">
        <f>_xlfn.LET(
 _xlpm.w, MIN(MAX($C39,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0.48892842952843873</v>
      </c>
      <c r="F39">
        <f>_xlfn.LET(
 _xlpm.w, MIN(MAX($C39,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0.47117511507719206</v>
      </c>
      <c r="G39">
        <f>_xlfn.LET(
 _xlpm.w, MIN(MAX($C39,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0.45462502835066221</v>
      </c>
      <c r="H39">
        <f>_xlfn.LET(
 _xlpm.w, MIN(MAX($C39,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0.43937720468203273</v>
      </c>
      <c r="I39">
        <f>_xlfn.LET(
 _xlpm.w, MIN(MAX($C39,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0.42555968377362868</v>
      </c>
      <c r="J39">
        <f>_xlfn.LET(
 _xlpm.w, MIN(MAX($C39,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0.4133472424844144</v>
      </c>
      <c r="K39">
        <f>_xlfn.LET(
 _xlpm.w, MIN(MAX($C39,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0.40299961507690918</v>
      </c>
      <c r="L39">
        <f>_xlfn.LET(
 _xlpm.w, MIN(MAX($C39,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0.39496794751684744</v>
      </c>
      <c r="M39">
        <f>_xlfn.LET(
 _xlpm.w, MIN(MAX($C39,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0.39052798902565322</v>
      </c>
      <c r="O39" s="7">
        <v>5</v>
      </c>
      <c r="P39" cm="1">
        <f t="array" ref="P39">_xlfn.LET(
 _xlpm.w, MIN(MAX($O39,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0.25814428571428572</v>
      </c>
      <c r="Q39" cm="1">
        <f t="array" ref="Q39">_xlfn.LET(
 _xlpm.w, MIN(MAX($O39,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0.36002428571428574</v>
      </c>
      <c r="R39" cm="1">
        <f t="array" ref="R39">_xlfn.LET(
 _xlpm.w, MIN(MAX($O39,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0.46190428571428571</v>
      </c>
      <c r="S39" cm="1">
        <f t="array" ref="S39">_xlfn.LET(
 _xlpm.w, MIN(MAX($O39,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0.56378428571428585</v>
      </c>
      <c r="T39" cm="1">
        <f t="array" ref="T39">_xlfn.LET(
 _xlpm.w, MIN(MAX($O39,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0.66566428571428582</v>
      </c>
      <c r="U39" cm="1">
        <f t="array" ref="U39">_xlfn.LET(
 _xlpm.w, MIN(MAX($O39,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0.76754428571428579</v>
      </c>
      <c r="V39" cm="1">
        <f t="array" ref="V39">_xlfn.LET(
 _xlpm.w, MIN(MAX($O39,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0.86942428571428576</v>
      </c>
      <c r="W39" cm="1">
        <f t="array" ref="W39">_xlfn.LET(
 _xlpm.w, MIN(MAX($O39,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0.97130428571428584</v>
      </c>
      <c r="X39" cm="1">
        <f t="array" ref="X39">_xlfn.LET(
 _xlpm.w, MIN(MAX($O39,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39" cm="1">
        <f t="array" ref="Y39">_xlfn.LET(
 _xlpm.w, MIN(MAX($O39,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0" spans="1:25" x14ac:dyDescent="0.3">
      <c r="A40" s="11" t="s">
        <v>31</v>
      </c>
      <c r="B40" s="10">
        <v>1</v>
      </c>
      <c r="C40" s="7">
        <v>6</v>
      </c>
      <c r="D40">
        <f>_xlfn.LET(
 _xlpm.w, MIN(MAX($C40,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0.48429523905641997</v>
      </c>
      <c r="E40">
        <f>_xlfn.LET(
 _xlpm.w, MIN(MAX($C40,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0.46629221719146174</v>
      </c>
      <c r="F40">
        <f>_xlfn.LET(
 _xlpm.w, MIN(MAX($C40,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0.44936083857240039</v>
      </c>
      <c r="G40">
        <f>_xlfn.LET(
 _xlpm.w, MIN(MAX($C40,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0.43357698112343263</v>
      </c>
      <c r="H40">
        <f>_xlfn.LET(
 _xlpm.w, MIN(MAX($C40,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0.4190350950796059</v>
      </c>
      <c r="I40">
        <f>_xlfn.LET(
 _xlpm.w, MIN(MAX($C40,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0.40585729221245986</v>
      </c>
      <c r="J40">
        <f>_xlfn.LET(
 _xlpm.w, MIN(MAX($C40,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0.3942102576320396</v>
      </c>
      <c r="K40">
        <f>_xlfn.LET(
 _xlpm.w, MIN(MAX($C40,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0.38434170052814937</v>
      </c>
      <c r="L40">
        <f>_xlfn.LET(
 _xlpm.w, MIN(MAX($C40,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0.37668187989154206</v>
      </c>
      <c r="M40">
        <f>_xlfn.LET(
 _xlpm.w, MIN(MAX($C40,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0.3724474808178499</v>
      </c>
      <c r="O40" s="7">
        <v>6</v>
      </c>
      <c r="P40" cm="1">
        <f t="array" ref="P40">_xlfn.LET(
 _xlpm.w, MIN(MAX($O40,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0.26016571428571428</v>
      </c>
      <c r="Q40" cm="1">
        <f t="array" ref="Q40">_xlfn.LET(
 _xlpm.w, MIN(MAX($O40,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0.3620457142857143</v>
      </c>
      <c r="R40" cm="1">
        <f t="array" ref="R40">_xlfn.LET(
 _xlpm.w, MIN(MAX($O40,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0.46392571428571427</v>
      </c>
      <c r="S40" cm="1">
        <f t="array" ref="S40">_xlfn.LET(
 _xlpm.w, MIN(MAX($O40,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0.56580571428571447</v>
      </c>
      <c r="T40" cm="1">
        <f t="array" ref="T40">_xlfn.LET(
 _xlpm.w, MIN(MAX($O40,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0.66768571428571444</v>
      </c>
      <c r="U40" cm="1">
        <f t="array" ref="U40">_xlfn.LET(
 _xlpm.w, MIN(MAX($O40,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0.76956571428571441</v>
      </c>
      <c r="V40" cm="1">
        <f t="array" ref="V40">_xlfn.LET(
 _xlpm.w, MIN(MAX($O40,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0.87144571428571438</v>
      </c>
      <c r="W40" cm="1">
        <f t="array" ref="W40">_xlfn.LET(
 _xlpm.w, MIN(MAX($O40,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0.97332571428571446</v>
      </c>
      <c r="X40" cm="1">
        <f t="array" ref="X40">_xlfn.LET(
 _xlpm.w, MIN(MAX($O40,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0" cm="1">
        <f t="array" ref="Y40">_xlfn.LET(
 _xlpm.w, MIN(MAX($O40,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1" spans="1:25" x14ac:dyDescent="0.3">
      <c r="A41" s="13"/>
      <c r="B41" s="10"/>
      <c r="C41" s="7">
        <v>7</v>
      </c>
      <c r="D41">
        <f>_xlfn.LET(
 _xlpm.w, MIN(MAX($C41,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0.46526891117611385</v>
      </c>
      <c r="E41">
        <f>_xlfn.LET(
 _xlpm.w, MIN(MAX($C41,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0.44797316737051956</v>
      </c>
      <c r="F41">
        <f>_xlfn.LET(
 _xlpm.w, MIN(MAX($C41,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0.43170696555910043</v>
      </c>
      <c r="G41">
        <f>_xlfn.LET(
 _xlpm.w, MIN(MAX($C41,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0.41654320267811812</v>
      </c>
      <c r="H41">
        <f>_xlfn.LET(
 _xlpm.w, MIN(MAX($C41,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0.4025726183311798</v>
      </c>
      <c r="I41">
        <f>_xlfn.LET(
 _xlpm.w, MIN(MAX($C41,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0.38991252692983469</v>
      </c>
      <c r="J41">
        <f>_xlfn.LET(
 _xlpm.w, MIN(MAX($C41,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0.37872306508787873</v>
      </c>
      <c r="K41">
        <f>_xlfn.LET(
 _xlpm.w, MIN(MAX($C41,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0.36924221033582255</v>
      </c>
      <c r="L41">
        <f>_xlfn.LET(
 _xlpm.w, MIN(MAX($C41,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0.36188331823863346</v>
      </c>
      <c r="M41">
        <f>_xlfn.LET(
 _xlpm.w, MIN(MAX($C41,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0.3578152744347331</v>
      </c>
      <c r="O41" s="7">
        <v>7</v>
      </c>
      <c r="P41" cm="1">
        <f t="array" ref="P41">_xlfn.LET(
 _xlpm.w, MIN(MAX($O41,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0.2621871428571429</v>
      </c>
      <c r="Q41" cm="1">
        <f t="array" ref="Q41">_xlfn.LET(
 _xlpm.w, MIN(MAX($O41,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0.36406714285714292</v>
      </c>
      <c r="R41" cm="1">
        <f t="array" ref="R41">_xlfn.LET(
 _xlpm.w, MIN(MAX($O41,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0.46594714285714289</v>
      </c>
      <c r="S41" cm="1">
        <f t="array" ref="S41">_xlfn.LET(
 _xlpm.w, MIN(MAX($O41,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0.56782714285714309</v>
      </c>
      <c r="T41" cm="1">
        <f t="array" ref="T41">_xlfn.LET(
 _xlpm.w, MIN(MAX($O41,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0.66970714285714295</v>
      </c>
      <c r="U41" cm="1">
        <f t="array" ref="U41">_xlfn.LET(
 _xlpm.w, MIN(MAX($O41,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0.77158714285714292</v>
      </c>
      <c r="V41" cm="1">
        <f t="array" ref="V41">_xlfn.LET(
 _xlpm.w, MIN(MAX($O41,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0.87346714285714289</v>
      </c>
      <c r="W41" cm="1">
        <f t="array" ref="W41">_xlfn.LET(
 _xlpm.w, MIN(MAX($O41,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0.97534714285714297</v>
      </c>
      <c r="X41" cm="1">
        <f t="array" ref="X41">_xlfn.LET(
 _xlpm.w, MIN(MAX($O41,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1" cm="1">
        <f t="array" ref="Y41">_xlfn.LET(
 _xlpm.w, MIN(MAX($O41,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2" spans="1:25" x14ac:dyDescent="0.3">
      <c r="A42" s="11" t="s">
        <v>32</v>
      </c>
      <c r="B42" s="10">
        <v>0</v>
      </c>
      <c r="C42" s="7">
        <v>8</v>
      </c>
      <c r="D42">
        <f>_xlfn.LET(
 _xlpm.w, MIN(MAX($C42,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0.44939281873759834</v>
      </c>
      <c r="E42">
        <f>_xlfn.LET(
 _xlpm.w, MIN(MAX($C42,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0.43268724724065122</v>
      </c>
      <c r="F42">
        <f>_xlfn.LET(
 _xlpm.w, MIN(MAX($C42,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0.41697608729293367</v>
      </c>
      <c r="G42">
        <f>_xlfn.LET(
 _xlpm.w, MIN(MAX($C42,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0.40232974841220448</v>
      </c>
      <c r="H42">
        <f>_xlfn.LET(
 _xlpm.w, MIN(MAX($C42,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0.38883587394891478</v>
      </c>
      <c r="I42">
        <f>_xlfn.LET(
 _xlpm.w, MIN(MAX($C42,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0.37660777526519995</v>
      </c>
      <c r="J42">
        <f>_xlfn.LET(
 _xlpm.w, MIN(MAX($C42,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0.36580012472907819</v>
      </c>
      <c r="K42">
        <f>_xlfn.LET(
 _xlpm.w, MIN(MAX($C42,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0.35664277950629447</v>
      </c>
      <c r="L42">
        <f>_xlfn.LET(
 _xlpm.w, MIN(MAX($C42,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0.3495349904774035</v>
      </c>
      <c r="M42">
        <f>_xlfn.LET(
 _xlpm.w, MIN(MAX($C42,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0.34560575809615196</v>
      </c>
      <c r="O42" s="7">
        <v>8</v>
      </c>
      <c r="P42" cm="1">
        <f t="array" ref="P42">_xlfn.LET(
 _xlpm.w, MIN(MAX($O42,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0.26420857142857146</v>
      </c>
      <c r="Q42" cm="1">
        <f t="array" ref="Q42">_xlfn.LET(
 _xlpm.w, MIN(MAX($O42,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0.36608857142857149</v>
      </c>
      <c r="R42" cm="1">
        <f t="array" ref="R42">_xlfn.LET(
 _xlpm.w, MIN(MAX($O42,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0.46796857142857146</v>
      </c>
      <c r="S42" cm="1">
        <f t="array" ref="S42">_xlfn.LET(
 _xlpm.w, MIN(MAX($O42,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0.56984857142857159</v>
      </c>
      <c r="T42" cm="1">
        <f t="array" ref="T42">_xlfn.LET(
 _xlpm.w, MIN(MAX($O42,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0.67172857142857156</v>
      </c>
      <c r="U42" cm="1">
        <f t="array" ref="U42">_xlfn.LET(
 _xlpm.w, MIN(MAX($O42,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0.77360857142857153</v>
      </c>
      <c r="V42" cm="1">
        <f t="array" ref="V42">_xlfn.LET(
 _xlpm.w, MIN(MAX($O42,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0.8754885714285715</v>
      </c>
      <c r="W42" cm="1">
        <f t="array" ref="W42">_xlfn.LET(
 _xlpm.w, MIN(MAX($O42,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0.97736857142857159</v>
      </c>
      <c r="X42" cm="1">
        <f t="array" ref="X42">_xlfn.LET(
 _xlpm.w, MIN(MAX($O42,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2" cm="1">
        <f t="array" ref="Y42">_xlfn.LET(
 _xlpm.w, MIN(MAX($O42,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3" spans="1:25" x14ac:dyDescent="0.3">
      <c r="A43" s="13"/>
      <c r="B43" s="10"/>
      <c r="C43" s="7">
        <v>9</v>
      </c>
      <c r="D43">
        <f>_xlfn.LET(
 _xlpm.w, MIN(MAX($C43,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0.43583938423029123</v>
      </c>
      <c r="E43">
        <f>_xlfn.LET(
 _xlpm.w, MIN(MAX($C43,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0.41963764336825937</v>
      </c>
      <c r="F43">
        <f>_xlfn.LET(
 _xlpm.w, MIN(MAX($C43,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0.40440032316275987</v>
      </c>
      <c r="G43">
        <f>_xlfn.LET(
 _xlpm.w, MIN(MAX($C43,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0.39019570962012001</v>
      </c>
      <c r="H43">
        <f>_xlfn.LET(
 _xlpm.w, MIN(MAX($C43,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0.37710880281666476</v>
      </c>
      <c r="I43">
        <f>_xlfn.LET(
 _xlpm.w, MIN(MAX($C43,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0.36524949670761581</v>
      </c>
      <c r="J43">
        <f>_xlfn.LET(
 _xlpm.w, MIN(MAX($C43,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0.35476779882941728</v>
      </c>
      <c r="K43">
        <f>_xlfn.LET(
 _xlpm.w, MIN(MAX($C43,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0.34588663398505293</v>
      </c>
      <c r="L43">
        <f>_xlfn.LET(
 _xlpm.w, MIN(MAX($C43,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0.33899321187320658</v>
      </c>
      <c r="M43">
        <f>_xlfn.LET(
 _xlpm.w, MIN(MAX($C43,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0.33518248292931063</v>
      </c>
      <c r="O43" s="7">
        <v>9</v>
      </c>
      <c r="P43" cm="1">
        <f t="array" ref="P43">_xlfn.LET(
 _xlpm.w, MIN(MAX($O43,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0.26623000000000002</v>
      </c>
      <c r="Q43" cm="1">
        <f t="array" ref="Q43">_xlfn.LET(
 _xlpm.w, MIN(MAX($O43,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0.36811000000000005</v>
      </c>
      <c r="R43" cm="1">
        <f t="array" ref="R43">_xlfn.LET(
 _xlpm.w, MIN(MAX($O43,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0.46999000000000002</v>
      </c>
      <c r="S43" cm="1">
        <f t="array" ref="S43">_xlfn.LET(
 _xlpm.w, MIN(MAX($O43,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0.57187000000000021</v>
      </c>
      <c r="T43" cm="1">
        <f t="array" ref="T43">_xlfn.LET(
 _xlpm.w, MIN(MAX($O43,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0.67375000000000007</v>
      </c>
      <c r="U43" cm="1">
        <f t="array" ref="U43">_xlfn.LET(
 _xlpm.w, MIN(MAX($O43,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0.77563000000000004</v>
      </c>
      <c r="V43" cm="1">
        <f t="array" ref="V43">_xlfn.LET(
 _xlpm.w, MIN(MAX($O43,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0.87751000000000001</v>
      </c>
      <c r="W43" cm="1">
        <f t="array" ref="W43">_xlfn.LET(
 _xlpm.w, MIN(MAX($O43,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0.9793900000000002</v>
      </c>
      <c r="X43" cm="1">
        <f t="array" ref="X43">_xlfn.LET(
 _xlpm.w, MIN(MAX($O43,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3" cm="1">
        <f t="array" ref="Y43">_xlfn.LET(
 _xlpm.w, MIN(MAX($O43,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4" spans="1:25" x14ac:dyDescent="0.3">
      <c r="C44" s="7">
        <v>10</v>
      </c>
      <c r="D44">
        <f>_xlfn.LET(
 _xlpm.w, MIN(MAX($C44,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0.42406216354282023</v>
      </c>
      <c r="E44">
        <f>_xlfn.LET(
 _xlpm.w, MIN(MAX($C44,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0.40829822496428397</v>
      </c>
      <c r="F44">
        <f>_xlfn.LET(
 _xlpm.w, MIN(MAX($C44,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0.39347264653623476</v>
      </c>
      <c r="G44">
        <f>_xlfn.LET(
 _xlpm.w, MIN(MAX($C44,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0.37965186904541792</v>
      </c>
      <c r="H44">
        <f>_xlfn.LET(
 _xlpm.w, MIN(MAX($C44,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0.3669185957021715</v>
      </c>
      <c r="I44">
        <f>_xlfn.LET(
 _xlpm.w, MIN(MAX($C44,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0.35537975091511437</v>
      </c>
      <c r="J44">
        <f>_xlfn.LET(
 _xlpm.w, MIN(MAX($C44,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0.34518128872776327</v>
      </c>
      <c r="K44">
        <f>_xlfn.LET(
 _xlpm.w, MIN(MAX($C44,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0.33654011008500978</v>
      </c>
      <c r="L44">
        <f>_xlfn.LET(
 _xlpm.w, MIN(MAX($C44,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0.32983296153273745</v>
      </c>
      <c r="M44">
        <f>_xlfn.LET(
 _xlpm.w, MIN(MAX($C44,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0.3261252058339778</v>
      </c>
      <c r="O44" s="7">
        <v>10</v>
      </c>
      <c r="P44" cm="1">
        <f t="array" ref="P44">_xlfn.LET(
 _xlpm.w, MIN(MAX($O44,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0.26825142857142859</v>
      </c>
      <c r="Q44" cm="1">
        <f t="array" ref="Q44">_xlfn.LET(
 _xlpm.w, MIN(MAX($O44,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0.37013142857142861</v>
      </c>
      <c r="R44" cm="1">
        <f t="array" ref="R44">_xlfn.LET(
 _xlpm.w, MIN(MAX($O44,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0.47201142857142858</v>
      </c>
      <c r="S44" cm="1">
        <f t="array" ref="S44">_xlfn.LET(
 _xlpm.w, MIN(MAX($O44,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0.57389142857142872</v>
      </c>
      <c r="T44" cm="1">
        <f t="array" ref="T44">_xlfn.LET(
 _xlpm.w, MIN(MAX($O44,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0.67577142857142869</v>
      </c>
      <c r="U44" cm="1">
        <f t="array" ref="U44">_xlfn.LET(
 _xlpm.w, MIN(MAX($O44,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0.77765142857142866</v>
      </c>
      <c r="V44" cm="1">
        <f t="array" ref="V44">_xlfn.LET(
 _xlpm.w, MIN(MAX($O44,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0.87953142857142863</v>
      </c>
      <c r="W44" cm="1">
        <f t="array" ref="W44">_xlfn.LET(
 _xlpm.w, MIN(MAX($O44,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0.98141142857142871</v>
      </c>
      <c r="X44" cm="1">
        <f t="array" ref="X44">_xlfn.LET(
 _xlpm.w, MIN(MAX($O44,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4" cm="1">
        <f t="array" ref="Y44">_xlfn.LET(
 _xlpm.w, MIN(MAX($O44,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5" spans="1:25" x14ac:dyDescent="0.3">
      <c r="C45" s="7">
        <v>11</v>
      </c>
      <c r="D45">
        <f>_xlfn.LET(
 _xlpm.w, MIN(MAX($C45,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0.41368276412701388</v>
      </c>
      <c r="E45">
        <f>_xlfn.LET(
 _xlpm.w, MIN(MAX($C45,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0.39830466571282036</v>
      </c>
      <c r="F45">
        <f>_xlfn.LET(
 _xlpm.w, MIN(MAX($C45,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0.3838419600267991</v>
      </c>
      <c r="G45">
        <f>_xlfn.LET(
 _xlpm.w, MIN(MAX($C45,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0.37035946164255401</v>
      </c>
      <c r="H45">
        <f>_xlfn.LET(
 _xlpm.w, MIN(MAX($C45,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0.35793784951613494</v>
      </c>
      <c r="I45">
        <f>_xlfn.LET(
 _xlpm.w, MIN(MAX($C45,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0.34668143096074466</v>
      </c>
      <c r="J45">
        <f>_xlfn.LET(
 _xlpm.w, MIN(MAX($C45,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0.33673258763017894</v>
      </c>
      <c r="K45">
        <f>_xlfn.LET(
 _xlpm.w, MIN(MAX($C45,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0.32830291157423286</v>
      </c>
      <c r="L45">
        <f>_xlfn.LET(
 _xlpm.w, MIN(MAX($C45,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0.32175992804244624</v>
      </c>
      <c r="M45">
        <f>_xlfn.LET(
 _xlpm.w, MIN(MAX($C45,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0.31814292384344817</v>
      </c>
      <c r="O45" s="7">
        <v>11</v>
      </c>
      <c r="P45" cm="1">
        <f t="array" ref="P45">_xlfn.LET(
 _xlpm.w, MIN(MAX($O45,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0.27027285714285715</v>
      </c>
      <c r="Q45" cm="1">
        <f t="array" ref="Q45">_xlfn.LET(
 _xlpm.w, MIN(MAX($O45,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0.37215285714285717</v>
      </c>
      <c r="R45" cm="1">
        <f t="array" ref="R45">_xlfn.LET(
 _xlpm.w, MIN(MAX($O45,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0.47403285714285714</v>
      </c>
      <c r="S45" cm="1">
        <f t="array" ref="S45">_xlfn.LET(
 _xlpm.w, MIN(MAX($O45,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0.57591285714285734</v>
      </c>
      <c r="T45" cm="1">
        <f t="array" ref="T45">_xlfn.LET(
 _xlpm.w, MIN(MAX($O45,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0.67779285714285731</v>
      </c>
      <c r="U45" cm="1">
        <f t="array" ref="U45">_xlfn.LET(
 _xlpm.w, MIN(MAX($O45,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0.77967285714285728</v>
      </c>
      <c r="V45" cm="1">
        <f t="array" ref="V45">_xlfn.LET(
 _xlpm.w, MIN(MAX($O45,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0.88155285714285725</v>
      </c>
      <c r="W45" cm="1">
        <f t="array" ref="W45">_xlfn.LET(
 _xlpm.w, MIN(MAX($O45,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0.98343285714285744</v>
      </c>
      <c r="X45" cm="1">
        <f t="array" ref="X45">_xlfn.LET(
 _xlpm.w, MIN(MAX($O45,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5" cm="1">
        <f t="array" ref="Y45">_xlfn.LET(
 _xlpm.w, MIN(MAX($O45,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6" spans="1:25" x14ac:dyDescent="0.3">
      <c r="C46" s="7">
        <v>12</v>
      </c>
      <c r="D46">
        <f>_xlfn.LET(
 _xlpm.w, MIN(MAX($C46,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0.40442910357269035</v>
      </c>
      <c r="E46">
        <f>_xlfn.LET(
 _xlpm.w, MIN(MAX($C46,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0.38939499750005907</v>
      </c>
      <c r="F46">
        <f>_xlfn.LET(
 _xlpm.w, MIN(MAX($C46,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0.37525580775601303</v>
      </c>
      <c r="G46">
        <f>_xlfn.LET(
 _xlpm.w, MIN(MAX($C46,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0.36207489907840062</v>
      </c>
      <c r="H46">
        <f>_xlfn.LET(
 _xlpm.w, MIN(MAX($C46,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0.34993114571749695</v>
      </c>
      <c r="I46">
        <f>_xlfn.LET(
 _xlpm.w, MIN(MAX($C46,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0.33892652173853477</v>
      </c>
      <c r="J46">
        <f>_xlfn.LET(
 _xlpm.w, MIN(MAX($C46,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0.32920022386326131</v>
      </c>
      <c r="K46">
        <f>_xlfn.LET(
 _xlpm.w, MIN(MAX($C46,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0.32095911104361358</v>
      </c>
      <c r="L46">
        <f>_xlfn.LET(
 _xlpm.w, MIN(MAX($C46,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0.31456248736499476</v>
      </c>
      <c r="M46">
        <f>_xlfn.LET(
 _xlpm.w, MIN(MAX($C46,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0.31102639185251574</v>
      </c>
      <c r="O46" s="7">
        <v>12</v>
      </c>
      <c r="P46" cm="1">
        <f t="array" ref="P46">_xlfn.LET(
 _xlpm.w, MIN(MAX($O46,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0.27229428571428571</v>
      </c>
      <c r="Q46" cm="1">
        <f t="array" ref="Q46">_xlfn.LET(
 _xlpm.w, MIN(MAX($O46,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0.37417428571428574</v>
      </c>
      <c r="R46" cm="1">
        <f t="array" ref="R46">_xlfn.LET(
 _xlpm.w, MIN(MAX($O46,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0.47605428571428571</v>
      </c>
      <c r="S46" cm="1">
        <f t="array" ref="S46">_xlfn.LET(
 _xlpm.w, MIN(MAX($O46,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0.57793428571428584</v>
      </c>
      <c r="T46" cm="1">
        <f t="array" ref="T46">_xlfn.LET(
 _xlpm.w, MIN(MAX($O46,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0.67981428571428593</v>
      </c>
      <c r="U46" cm="1">
        <f t="array" ref="U46">_xlfn.LET(
 _xlpm.w, MIN(MAX($O46,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0.7816942857142859</v>
      </c>
      <c r="V46" cm="1">
        <f t="array" ref="V46">_xlfn.LET(
 _xlpm.w, MIN(MAX($O46,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0.88357428571428587</v>
      </c>
      <c r="W46" cm="1">
        <f t="array" ref="W46">_xlfn.LET(
 _xlpm.w, MIN(MAX($O46,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0.98545428571428595</v>
      </c>
      <c r="X46" cm="1">
        <f t="array" ref="X46">_xlfn.LET(
 _xlpm.w, MIN(MAX($O46,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6" cm="1">
        <f t="array" ref="Y46">_xlfn.LET(
 _xlpm.w, MIN(MAX($O46,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7" spans="1:25" x14ac:dyDescent="0.3">
      <c r="C47" s="7">
        <v>13</v>
      </c>
      <c r="D47">
        <f>_xlfn.LET(
 _xlpm.w, MIN(MAX($C47,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0.39609946258191536</v>
      </c>
      <c r="E47">
        <f>_xlfn.LET(
 _xlpm.w, MIN(MAX($C47,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0.38137499967070843</v>
      </c>
      <c r="F47">
        <f>_xlfn.LET(
 _xlpm.w, MIN(MAX($C47,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0.3675270213489561</v>
      </c>
      <c r="G47">
        <f>_xlfn.LET(
 _xlpm.w, MIN(MAX($C47,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0.35461758729136184</v>
      </c>
      <c r="H47">
        <f>_xlfn.LET(
 _xlpm.w, MIN(MAX($C47,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0.342723947250403</v>
      </c>
      <c r="I47">
        <f>_xlfn.LET(
 _xlpm.w, MIN(MAX($C47,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0.33194597502862999</v>
      </c>
      <c r="J47">
        <f>_xlfn.LET(
 _xlpm.w, MIN(MAX($C47,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0.32242000044551</v>
      </c>
      <c r="K47">
        <f>_xlfn.LET(
 _xlpm.w, MIN(MAX($C47,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0.31434862197619901</v>
      </c>
      <c r="L47">
        <f>_xlfn.LET(
 _xlpm.w, MIN(MAX($C47,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0.30808374346212269</v>
      </c>
      <c r="M47">
        <f>_xlfn.LET(
 _xlpm.w, MIN(MAX($C47,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0.30462047754046151</v>
      </c>
      <c r="O47" s="7">
        <v>13</v>
      </c>
      <c r="P47" cm="1">
        <f t="array" ref="P47">_xlfn.LET(
 _xlpm.w, MIN(MAX($O47,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0.27431571428571427</v>
      </c>
      <c r="Q47" cm="1">
        <f t="array" ref="Q47">_xlfn.LET(
 _xlpm.w, MIN(MAX($O47,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0.3761957142857143</v>
      </c>
      <c r="R47" cm="1">
        <f t="array" ref="R47">_xlfn.LET(
 _xlpm.w, MIN(MAX($O47,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0.47807571428571427</v>
      </c>
      <c r="S47" cm="1">
        <f t="array" ref="S47">_xlfn.LET(
 _xlpm.w, MIN(MAX($O47,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0.57995571428571446</v>
      </c>
      <c r="T47" cm="1">
        <f t="array" ref="T47">_xlfn.LET(
 _xlpm.w, MIN(MAX($O47,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0.68183571428571443</v>
      </c>
      <c r="U47" cm="1">
        <f t="array" ref="U47">_xlfn.LET(
 _xlpm.w, MIN(MAX($O47,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0.7837157142857144</v>
      </c>
      <c r="V47" cm="1">
        <f t="array" ref="V47">_xlfn.LET(
 _xlpm.w, MIN(MAX($O47,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0.88559571428571449</v>
      </c>
      <c r="W47" cm="1">
        <f t="array" ref="W47">_xlfn.LET(
 _xlpm.w, MIN(MAX($O47,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0.98747571428571457</v>
      </c>
      <c r="X47" cm="1">
        <f t="array" ref="X47">_xlfn.LET(
 _xlpm.w, MIN(MAX($O47,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7" cm="1">
        <f t="array" ref="Y47">_xlfn.LET(
 _xlpm.w, MIN(MAX($O47,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8" spans="1:25" x14ac:dyDescent="0.3">
      <c r="C48" s="7">
        <v>14</v>
      </c>
      <c r="D48">
        <f>_xlfn.LET(
 _xlpm.w, MIN(MAX($C48,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0.38854044700876378</v>
      </c>
      <c r="E48">
        <f>_xlfn.LET(
 _xlpm.w, MIN(MAX($C48,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0.37409698029918392</v>
      </c>
      <c r="F48">
        <f>_xlfn.LET(
 _xlpm.w, MIN(MAX($C48,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0.36051327167148389</v>
      </c>
      <c r="G48">
        <f>_xlfn.LET(
 _xlpm.w, MIN(MAX($C48,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0.34785019647649917</v>
      </c>
      <c r="H48">
        <f>_xlfn.LET(
 _xlpm.w, MIN(MAX($C48,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0.33618353026101594</v>
      </c>
      <c r="I48">
        <f>_xlfn.LET(
 _xlpm.w, MIN(MAX($C48,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0.32561124087289378</v>
      </c>
      <c r="J48">
        <f>_xlfn.LET(
 _xlpm.w, MIN(MAX($C48,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0.31626705646377168</v>
      </c>
      <c r="K48">
        <f>_xlfn.LET(
 _xlpm.w, MIN(MAX($C48,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0.30834970919447446</v>
      </c>
      <c r="L48">
        <f>_xlfn.LET(
 _xlpm.w, MIN(MAX($C48,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0.30220438730373494</v>
      </c>
      <c r="M48">
        <f>_xlfn.LET(
 _xlpm.w, MIN(MAX($C48,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0.29880721306739227</v>
      </c>
      <c r="O48" s="7">
        <v>14</v>
      </c>
      <c r="P48" cm="1">
        <f t="array" ref="P48">_xlfn.LET(
 _xlpm.w, MIN(MAX($O48,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0.27633714285714289</v>
      </c>
      <c r="Q48" cm="1">
        <f t="array" ref="Q48">_xlfn.LET(
 _xlpm.w, MIN(MAX($O48,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0.37821714285714286</v>
      </c>
      <c r="R48" cm="1">
        <f t="array" ref="R48">_xlfn.LET(
 _xlpm.w, MIN(MAX($O48,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0.48009714285714283</v>
      </c>
      <c r="S48" cm="1">
        <f t="array" ref="S48">_xlfn.LET(
 _xlpm.w, MIN(MAX($O48,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0.58197714285714297</v>
      </c>
      <c r="T48" cm="1">
        <f t="array" ref="T48">_xlfn.LET(
 _xlpm.w, MIN(MAX($O48,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0.68385714285714305</v>
      </c>
      <c r="U48" cm="1">
        <f t="array" ref="U48">_xlfn.LET(
 _xlpm.w, MIN(MAX($O48,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0.78573714285714302</v>
      </c>
      <c r="V48" cm="1">
        <f t="array" ref="V48">_xlfn.LET(
 _xlpm.w, MIN(MAX($O48,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0.88761714285714299</v>
      </c>
      <c r="W48" cm="1">
        <f t="array" ref="W48">_xlfn.LET(
 _xlpm.w, MIN(MAX($O48,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0.98949714285714307</v>
      </c>
      <c r="X48" cm="1">
        <f t="array" ref="X48">_xlfn.LET(
 _xlpm.w, MIN(MAX($O48,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8" cm="1">
        <f t="array" ref="Y48">_xlfn.LET(
 _xlpm.w, MIN(MAX($O48,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49" spans="3:25" x14ac:dyDescent="0.3">
      <c r="C49" s="7">
        <v>15</v>
      </c>
      <c r="D49">
        <f>_xlfn.LET(
 _xlpm.w, MIN(MAX($C49,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0.38163289111404225</v>
      </c>
      <c r="E49">
        <f>_xlfn.LET(
 _xlpm.w, MIN(MAX($C49,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0.36744620347181062</v>
      </c>
      <c r="F49">
        <f>_xlfn.LET(
 _xlpm.w, MIN(MAX($C49,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0.35410398894678602</v>
      </c>
      <c r="G49">
        <f>_xlfn.LET(
 _xlpm.w, MIN(MAX($C49,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0.3416660406346827</v>
      </c>
      <c r="H49">
        <f>_xlfn.LET(
 _xlpm.w, MIN(MAX($C49,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0.33020678692826749</v>
      </c>
      <c r="I49">
        <f>_xlfn.LET(
 _xlpm.w, MIN(MAX($C49,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0.31982245398186415</v>
      </c>
      <c r="J49">
        <f>_xlfn.LET(
 _xlpm.w, MIN(MAX($C49,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0.31064439249917991</v>
      </c>
      <c r="K49">
        <f>_xlfn.LET(
 _xlpm.w, MIN(MAX($C49,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0.30286780153780801</v>
      </c>
      <c r="L49">
        <f>_xlfn.LET(
 _xlpm.w, MIN(MAX($C49,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0.29683173250549844</v>
      </c>
      <c r="M49">
        <f>_xlfn.LET(
 _xlpm.w, MIN(MAX($C49,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0.29349495396567155</v>
      </c>
      <c r="O49" s="7">
        <v>15</v>
      </c>
      <c r="P49" cm="1">
        <f t="array" ref="P49">_xlfn.LET(
 _xlpm.w, MIN(MAX($O49,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0.27835857142857146</v>
      </c>
      <c r="Q49" cm="1">
        <f t="array" ref="Q49">_xlfn.LET(
 _xlpm.w, MIN(MAX($O49,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0.38023857142857148</v>
      </c>
      <c r="R49" cm="1">
        <f t="array" ref="R49">_xlfn.LET(
 _xlpm.w, MIN(MAX($O49,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0.48211857142857145</v>
      </c>
      <c r="S49" cm="1">
        <f t="array" ref="S49">_xlfn.LET(
 _xlpm.w, MIN(MAX($O49,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0.58399857142857159</v>
      </c>
      <c r="T49" cm="1">
        <f t="array" ref="T49">_xlfn.LET(
 _xlpm.w, MIN(MAX($O49,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0.68587857142857156</v>
      </c>
      <c r="U49" cm="1">
        <f t="array" ref="U49">_xlfn.LET(
 _xlpm.w, MIN(MAX($O49,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0.78775857142857164</v>
      </c>
      <c r="V49" cm="1">
        <f t="array" ref="V49">_xlfn.LET(
 _xlpm.w, MIN(MAX($O49,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0.88963857142857161</v>
      </c>
      <c r="W49" cm="1">
        <f t="array" ref="W49">_xlfn.LET(
 _xlpm.w, MIN(MAX($O49,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0.99151857142857169</v>
      </c>
      <c r="X49" cm="1">
        <f t="array" ref="X49">_xlfn.LET(
 _xlpm.w, MIN(MAX($O49,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49" cm="1">
        <f t="array" ref="Y49">_xlfn.LET(
 _xlpm.w, MIN(MAX($O49,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0" spans="3:25" x14ac:dyDescent="0.3">
      <c r="C50" s="7">
        <v>16</v>
      </c>
      <c r="D50">
        <f>_xlfn.LET(
 _xlpm.w, MIN(MAX($C50,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0.37528251400563128</v>
      </c>
      <c r="E50">
        <f>_xlfn.LET(
 _xlpm.w, MIN(MAX($C50,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0.3613318930613838</v>
      </c>
      <c r="F50">
        <f>_xlfn.LET(
 _xlpm.w, MIN(MAX($C50,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0.34821169318883805</v>
      </c>
      <c r="G50">
        <f>_xlfn.LET(
 _xlpm.w, MIN(MAX($C50,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0.33598071252568712</v>
      </c>
      <c r="H50">
        <f>_xlfn.LET(
 _xlpm.w, MIN(MAX($C50,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0.32471214097511097</v>
      </c>
      <c r="I50">
        <f>_xlfn.LET(
 _xlpm.w, MIN(MAX($C50,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0.31450060348676273</v>
      </c>
      <c r="J50">
        <f>_xlfn.LET(
 _xlpm.w, MIN(MAX($C50,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0.3054752650866438</v>
      </c>
      <c r="K50">
        <f>_xlfn.LET(
 _xlpm.w, MIN(MAX($C50,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0.29782807671706218</v>
      </c>
      <c r="L50">
        <f>_xlfn.LET(
 _xlpm.w, MIN(MAX($C50,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0.29189244796518976</v>
      </c>
      <c r="M50">
        <f>_xlfn.LET(
 _xlpm.w, MIN(MAX($C50,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0.28861119347097991</v>
      </c>
      <c r="O50" s="7">
        <v>16</v>
      </c>
      <c r="P50" cm="1">
        <f t="array" ref="P50">_xlfn.LET(
 _xlpm.w, MIN(MAX($O50,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0.28038000000000002</v>
      </c>
      <c r="Q50" cm="1">
        <f t="array" ref="Q50">_xlfn.LET(
 _xlpm.w, MIN(MAX($O50,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0.38226000000000004</v>
      </c>
      <c r="R50" cm="1">
        <f t="array" ref="R50">_xlfn.LET(
 _xlpm.w, MIN(MAX($O50,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0.48414000000000007</v>
      </c>
      <c r="S50" cm="1">
        <f t="array" ref="S50">_xlfn.LET(
 _xlpm.w, MIN(MAX($O50,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0.58602000000000021</v>
      </c>
      <c r="T50" cm="1">
        <f t="array" ref="T50">_xlfn.LET(
 _xlpm.w, MIN(MAX($O50,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0.68790000000000018</v>
      </c>
      <c r="U50" cm="1">
        <f t="array" ref="U50">_xlfn.LET(
 _xlpm.w, MIN(MAX($O50,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0.78978000000000015</v>
      </c>
      <c r="V50" cm="1">
        <f t="array" ref="V50">_xlfn.LET(
 _xlpm.w, MIN(MAX($O50,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0.89166000000000012</v>
      </c>
      <c r="W50" cm="1">
        <f t="array" ref="W50">_xlfn.LET(
 _xlpm.w, MIN(MAX($O50,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0.9935400000000002</v>
      </c>
      <c r="X50" cm="1">
        <f t="array" ref="X50">_xlfn.LET(
 _xlpm.w, MIN(MAX($O50,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0" cm="1">
        <f t="array" ref="Y50">_xlfn.LET(
 _xlpm.w, MIN(MAX($O50,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1" spans="3:25" x14ac:dyDescent="0.3">
      <c r="C51" s="7">
        <v>17</v>
      </c>
      <c r="D51">
        <f>_xlfn.LET(
 _xlpm.w, MIN(MAX($C51,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0.36941353638403751</v>
      </c>
      <c r="E51">
        <f>_xlfn.LET(
 _xlpm.w, MIN(MAX($C51,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0.35568108676159027</v>
      </c>
      <c r="F51">
        <f>_xlfn.LET(
 _xlpm.w, MIN(MAX($C51,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0.34276607140089638</v>
      </c>
      <c r="G51">
        <f>_xlfn.LET(
 _xlpm.w, MIN(MAX($C51,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0.33072636890585405</v>
      </c>
      <c r="H51">
        <f>_xlfn.LET(
 _xlpm.w, MIN(MAX($C51,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0.31963402457554385</v>
      </c>
      <c r="I51">
        <f>_xlfn.LET(
 _xlpm.w, MIN(MAX($C51,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0.30958218353657591</v>
      </c>
      <c r="J51">
        <f>_xlfn.LET(
 _xlpm.w, MIN(MAX($C51,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0.30069799082569321</v>
      </c>
      <c r="K51">
        <f>_xlfn.LET(
 _xlpm.w, MIN(MAX($C51,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0.29317039549797785</v>
      </c>
      <c r="L51">
        <f>_xlfn.LET(
 _xlpm.w, MIN(MAX($C51,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0.28732759300636207</v>
      </c>
      <c r="M51">
        <f>_xlfn.LET(
 _xlpm.w, MIN(MAX($C51,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0.28409765347748783</v>
      </c>
      <c r="O51" s="7">
        <v>17</v>
      </c>
      <c r="P51" cm="1">
        <f t="array" ref="P51">_xlfn.LET(
 _xlpm.w, MIN(MAX($O51,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0.28240142857142858</v>
      </c>
      <c r="Q51" cm="1">
        <f t="array" ref="Q51">_xlfn.LET(
 _xlpm.w, MIN(MAX($O51,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0.38428142857142861</v>
      </c>
      <c r="R51" cm="1">
        <f t="array" ref="R51">_xlfn.LET(
 _xlpm.w, MIN(MAX($O51,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0.48616142857142863</v>
      </c>
      <c r="S51" cm="1">
        <f t="array" ref="S51">_xlfn.LET(
 _xlpm.w, MIN(MAX($O51,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0.58804142857142871</v>
      </c>
      <c r="T51" cm="1">
        <f t="array" ref="T51">_xlfn.LET(
 _xlpm.w, MIN(MAX($O51,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0.68992142857142869</v>
      </c>
      <c r="U51" cm="1">
        <f t="array" ref="U51">_xlfn.LET(
 _xlpm.w, MIN(MAX($O51,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0.79180142857142877</v>
      </c>
      <c r="V51" cm="1">
        <f t="array" ref="V51">_xlfn.LET(
 _xlpm.w, MIN(MAX($O51,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0.89368142857142874</v>
      </c>
      <c r="W51" cm="1">
        <f t="array" ref="W51">_xlfn.LET(
 _xlpm.w, MIN(MAX($O51,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0.99556142857142882</v>
      </c>
      <c r="X51" cm="1">
        <f t="array" ref="X51">_xlfn.LET(
 _xlpm.w, MIN(MAX($O51,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1" cm="1">
        <f t="array" ref="Y51">_xlfn.LET(
 _xlpm.w, MIN(MAX($O51,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2" spans="3:25" x14ac:dyDescent="0.3">
      <c r="C52" s="7">
        <v>18</v>
      </c>
      <c r="D52">
        <f>_xlfn.LET(
 _xlpm.w, MIN(MAX($C52,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0.36396420458181544</v>
      </c>
      <c r="E52">
        <f>_xlfn.LET(
 _xlpm.w, MIN(MAX($C52,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0.35043432651422374</v>
      </c>
      <c r="F52">
        <f>_xlfn.LET(
 _xlpm.w, MIN(MAX($C52,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0.33770982448614928</v>
      </c>
      <c r="G52">
        <f>_xlfn.LET(
 _xlpm.w, MIN(MAX($C52,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0.32584772331654216</v>
      </c>
      <c r="H52">
        <f>_xlfn.LET(
 _xlpm.w, MIN(MAX($C52,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0.31491900554229169</v>
      </c>
      <c r="I52">
        <f>_xlfn.LET(
 _xlpm.w, MIN(MAX($C52,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0.30501544227782196</v>
      </c>
      <c r="J52">
        <f>_xlfn.LET(
 _xlpm.w, MIN(MAX($C52,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0.2962623030046404</v>
      </c>
      <c r="K52">
        <f>_xlfn.LET(
 _xlpm.w, MIN(MAX($C52,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0.28884574953265968</v>
      </c>
      <c r="L52">
        <f>_xlfn.LET(
 _xlpm.w, MIN(MAX($C52,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0.28308913600353652</v>
      </c>
      <c r="M52">
        <f>_xlfn.LET(
 _xlpm.w, MIN(MAX($C52,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0.2799068422982729</v>
      </c>
      <c r="O52" s="7">
        <v>18</v>
      </c>
      <c r="P52" cm="1">
        <f t="array" ref="P52">_xlfn.LET(
 _xlpm.w, MIN(MAX($O52,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0.2844228571428572</v>
      </c>
      <c r="Q52" cm="1">
        <f t="array" ref="Q52">_xlfn.LET(
 _xlpm.w, MIN(MAX($O52,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0.38630285714285717</v>
      </c>
      <c r="R52" cm="1">
        <f t="array" ref="R52">_xlfn.LET(
 _xlpm.w, MIN(MAX($O52,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0.4881828571428572</v>
      </c>
      <c r="S52" cm="1">
        <f t="array" ref="S52">_xlfn.LET(
 _xlpm.w, MIN(MAX($O52,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0.59006285714285733</v>
      </c>
      <c r="T52" cm="1">
        <f t="array" ref="T52">_xlfn.LET(
 _xlpm.w, MIN(MAX($O52,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0.6919428571428573</v>
      </c>
      <c r="U52" cm="1">
        <f t="array" ref="U52">_xlfn.LET(
 _xlpm.w, MIN(MAX($O52,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0.79382285714285727</v>
      </c>
      <c r="V52" cm="1">
        <f t="array" ref="V52">_xlfn.LET(
 _xlpm.w, MIN(MAX($O52,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0.89570285714285724</v>
      </c>
      <c r="W52" cm="1">
        <f t="array" ref="W52">_xlfn.LET(
 _xlpm.w, MIN(MAX($O52,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0.99758285714285733</v>
      </c>
      <c r="X52" cm="1">
        <f t="array" ref="X52">_xlfn.LET(
 _xlpm.w, MIN(MAX($O52,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2" cm="1">
        <f t="array" ref="Y52">_xlfn.LET(
 _xlpm.w, MIN(MAX($O52,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3" spans="3:25" x14ac:dyDescent="0.3">
      <c r="C53" s="7">
        <v>19</v>
      </c>
      <c r="D53">
        <f>_xlfn.LET(
 _xlpm.w, MIN(MAX($C53,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0.35888358000305332</v>
      </c>
      <c r="E53">
        <f>_xlfn.LET(
 _xlpm.w, MIN(MAX($C53,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0.3455425672969244</v>
      </c>
      <c r="F53">
        <f>_xlfn.LET(
 _xlpm.w, MIN(MAX($C53,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0.33299568827941656</v>
      </c>
      <c r="G53">
        <f>_xlfn.LET(
 _xlpm.w, MIN(MAX($C53,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0.32129917175247324</v>
      </c>
      <c r="H53">
        <f>_xlfn.LET(
 _xlpm.w, MIN(MAX($C53,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0.31052300939834171</v>
      </c>
      <c r="I53">
        <f>_xlfn.LET(
 _xlpm.w, MIN(MAX($C53,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0.30075769128629443</v>
      </c>
      <c r="J53">
        <f>_xlfn.LET(
 _xlpm.w, MIN(MAX($C53,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0.29212673824454122</v>
      </c>
      <c r="K53">
        <f>_xlfn.LET(
 _xlpm.w, MIN(MAX($C53,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0.28481371342561246</v>
      </c>
      <c r="L53">
        <f>_xlfn.LET(
 _xlpm.w, MIN(MAX($C53,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0.2791374572278375</v>
      </c>
      <c r="M53">
        <f>_xlfn.LET(
 _xlpm.w, MIN(MAX($C53,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0.2759995855822498</v>
      </c>
      <c r="O53" s="7">
        <v>19</v>
      </c>
      <c r="P53" cm="1">
        <f t="array" ref="P53">_xlfn.LET(
 _xlpm.w, MIN(MAX($O53,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0.28644428571428576</v>
      </c>
      <c r="Q53" cm="1">
        <f t="array" ref="Q53">_xlfn.LET(
 _xlpm.w, MIN(MAX($O53,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0.38832428571428579</v>
      </c>
      <c r="R53" cm="1">
        <f t="array" ref="R53">_xlfn.LET(
 _xlpm.w, MIN(MAX($O53,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0.49020428571428576</v>
      </c>
      <c r="S53" cm="1">
        <f t="array" ref="S53">_xlfn.LET(
 _xlpm.w, MIN(MAX($O53,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0.59208428571428584</v>
      </c>
      <c r="T53" cm="1">
        <f t="array" ref="T53">_xlfn.LET(
 _xlpm.w, MIN(MAX($O53,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0.69396428571428592</v>
      </c>
      <c r="U53" cm="1">
        <f t="array" ref="U53">_xlfn.LET(
 _xlpm.w, MIN(MAX($O53,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0.79584428571428589</v>
      </c>
      <c r="V53" cm="1">
        <f t="array" ref="V53">_xlfn.LET(
 _xlpm.w, MIN(MAX($O53,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0.89772428571428586</v>
      </c>
      <c r="W53" cm="1">
        <f t="array" ref="W53">_xlfn.LET(
 _xlpm.w, MIN(MAX($O53,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0.99960428571428595</v>
      </c>
      <c r="X53" cm="1">
        <f t="array" ref="X53">_xlfn.LET(
 _xlpm.w, MIN(MAX($O53,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3" cm="1">
        <f t="array" ref="Y53">_xlfn.LET(
 _xlpm.w, MIN(MAX($O53,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4" spans="3:25" x14ac:dyDescent="0.3">
      <c r="C54" s="7">
        <v>20</v>
      </c>
      <c r="D54">
        <f>_xlfn.LET(
 _xlpm.w, MIN(MAX($C54,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0.35412918986126657</v>
      </c>
      <c r="E54">
        <f>_xlfn.LET(
 _xlpm.w, MIN(MAX($C54,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0.34096491519172017</v>
      </c>
      <c r="F54">
        <f>_xlfn.LET(
 _xlpm.w, MIN(MAX($C54,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0.32858425374791844</v>
      </c>
      <c r="G54">
        <f>_xlfn.LET(
 _xlpm.w, MIN(MAX($C54,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0.31704268942822972</v>
      </c>
      <c r="H54">
        <f>_xlfn.LET(
 _xlpm.w, MIN(MAX($C54,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0.30640928668450546</v>
      </c>
      <c r="I54">
        <f>_xlfn.LET(
 _xlpm.w, MIN(MAX($C54,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0.29677333679867496</v>
      </c>
      <c r="J54">
        <f>_xlfn.LET(
 _xlpm.w, MIN(MAX($C54,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0.28825672422927101</v>
      </c>
      <c r="K54">
        <f>_xlfn.LET(
 _xlpm.w, MIN(MAX($C54,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0.28104058033508517</v>
      </c>
      <c r="L54">
        <f>_xlfn.LET(
 _xlpm.w, MIN(MAX($C54,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0.27543952160527113</v>
      </c>
      <c r="M54">
        <f>_xlfn.LET(
 _xlpm.w, MIN(MAX($C54,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0.2723432196130452</v>
      </c>
      <c r="O54" s="7">
        <v>20</v>
      </c>
      <c r="P54" cm="1">
        <f t="array" ref="P54">_xlfn.LET(
 _xlpm.w, MIN(MAX($O54,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0.28846571428571427</v>
      </c>
      <c r="Q54" cm="1">
        <f t="array" ref="Q54">_xlfn.LET(
 _xlpm.w, MIN(MAX($O54,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0.39034571428571435</v>
      </c>
      <c r="R54" cm="1">
        <f t="array" ref="R54">_xlfn.LET(
 _xlpm.w, MIN(MAX($O54,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0.49222571428571432</v>
      </c>
      <c r="S54" cm="1">
        <f t="array" ref="S54">_xlfn.LET(
 _xlpm.w, MIN(MAX($O54,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0.59410571428571446</v>
      </c>
      <c r="T54" cm="1">
        <f t="array" ref="T54">_xlfn.LET(
 _xlpm.w, MIN(MAX($O54,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0.69598571428571443</v>
      </c>
      <c r="U54" cm="1">
        <f t="array" ref="U54">_xlfn.LET(
 _xlpm.w, MIN(MAX($O54,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0.7978657142857144</v>
      </c>
      <c r="V54" cm="1">
        <f t="array" ref="V54">_xlfn.LET(
 _xlpm.w, MIN(MAX($O54,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0.89974571428571437</v>
      </c>
      <c r="W54" cm="1">
        <f t="array" ref="W54">_xlfn.LET(
 _xlpm.w, MIN(MAX($O54,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4" cm="1">
        <f t="array" ref="X54">_xlfn.LET(
 _xlpm.w, MIN(MAX($O54,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4" cm="1">
        <f t="array" ref="Y54">_xlfn.LET(
 _xlpm.w, MIN(MAX($O54,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5" spans="3:25" x14ac:dyDescent="0.3">
      <c r="C55" s="7">
        <v>21</v>
      </c>
      <c r="D55">
        <f>_xlfn.LET(
 _xlpm.w, MIN(MAX($C55,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0.34966527753359461</v>
      </c>
      <c r="E55">
        <f>_xlfn.LET(
 _xlpm.w, MIN(MAX($C55,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0.3366669427799453</v>
      </c>
      <c r="F55">
        <f>_xlfn.LET(
 _xlpm.w, MIN(MAX($C55,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0.32444234355531665</v>
      </c>
      <c r="G55">
        <f>_xlfn.LET(
 _xlpm.w, MIN(MAX($C55,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0.31304626436569438</v>
      </c>
      <c r="H55">
        <f>_xlfn.LET(
 _xlpm.w, MIN(MAX($C55,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0.30254689908330268</v>
      </c>
      <c r="I55">
        <f>_xlfn.LET(
 _xlpm.w, MIN(MAX($C55,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0.29303241344474606</v>
      </c>
      <c r="J55">
        <f>_xlfn.LET(
 _xlpm.w, MIN(MAX($C55,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0.28462315551575867</v>
      </c>
      <c r="K55">
        <f>_xlfn.LET(
 _xlpm.w, MIN(MAX($C55,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0.277497973436102</v>
      </c>
      <c r="L55">
        <f>_xlfn.LET(
 _xlpm.w, MIN(MAX($C55,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0.2719675178529018</v>
      </c>
      <c r="M55">
        <f>_xlfn.LET(
 _xlpm.w, MIN(MAX($C55,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0.26891024574307193</v>
      </c>
      <c r="O55" s="7">
        <v>21</v>
      </c>
      <c r="P55" cm="1">
        <f t="array" ref="P55">_xlfn.LET(
 _xlpm.w, MIN(MAX($O55,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0.29048714285714283</v>
      </c>
      <c r="Q55" cm="1">
        <f t="array" ref="Q55">_xlfn.LET(
 _xlpm.w, MIN(MAX($O55,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0.39236714285714291</v>
      </c>
      <c r="R55" cm="1">
        <f t="array" ref="R55">_xlfn.LET(
 _xlpm.w, MIN(MAX($O55,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0.49424714285714288</v>
      </c>
      <c r="S55" cm="1">
        <f t="array" ref="S55">_xlfn.LET(
 _xlpm.w, MIN(MAX($O55,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0.59612714285714308</v>
      </c>
      <c r="T55" cm="1">
        <f t="array" ref="T55">_xlfn.LET(
 _xlpm.w, MIN(MAX($O55,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0.69800714285714305</v>
      </c>
      <c r="U55" cm="1">
        <f t="array" ref="U55">_xlfn.LET(
 _xlpm.w, MIN(MAX($O55,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0.79988714285714302</v>
      </c>
      <c r="V55" cm="1">
        <f t="array" ref="V55">_xlfn.LET(
 _xlpm.w, MIN(MAX($O55,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0.90176714285714299</v>
      </c>
      <c r="W55" cm="1">
        <f t="array" ref="W55">_xlfn.LET(
 _xlpm.w, MIN(MAX($O55,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5" cm="1">
        <f t="array" ref="X55">_xlfn.LET(
 _xlpm.w, MIN(MAX($O55,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5" cm="1">
        <f t="array" ref="Y55">_xlfn.LET(
 _xlpm.w, MIN(MAX($O55,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6" spans="3:25" x14ac:dyDescent="0.3">
      <c r="C56" s="7">
        <v>22</v>
      </c>
      <c r="D56">
        <f>_xlfn.LET(
 _xlpm.w, MIN(MAX($C56,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56">
        <f>_xlfn.LET(
 _xlpm.w, MIN(MAX($C56,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56">
        <f>_xlfn.LET(
 _xlpm.w, MIN(MAX($C56,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56">
        <f>_xlfn.LET(
 _xlpm.w, MIN(MAX($C56,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56">
        <f>_xlfn.LET(
 _xlpm.w, MIN(MAX($C56,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56">
        <f>_xlfn.LET(
 _xlpm.w, MIN(MAX($C56,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56">
        <f>_xlfn.LET(
 _xlpm.w, MIN(MAX($C56,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56">
        <f>_xlfn.LET(
 _xlpm.w, MIN(MAX($C56,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56">
        <f>_xlfn.LET(
 _xlpm.w, MIN(MAX($C56,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56">
        <f>_xlfn.LET(
 _xlpm.w, MIN(MAX($C56,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56" s="7">
        <v>22</v>
      </c>
      <c r="P56" cm="1">
        <f t="array" ref="P56">_xlfn.LET(
 _xlpm.w, MIN(MAX($O56,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0.29250857142857145</v>
      </c>
      <c r="Q56" cm="1">
        <f t="array" ref="Q56">_xlfn.LET(
 _xlpm.w, MIN(MAX($O56,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0.39438857142857148</v>
      </c>
      <c r="R56" cm="1">
        <f t="array" ref="R56">_xlfn.LET(
 _xlpm.w, MIN(MAX($O56,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0.49626857142857145</v>
      </c>
      <c r="S56" cm="1">
        <f t="array" ref="S56">_xlfn.LET(
 _xlpm.w, MIN(MAX($O56,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0.59814857142857158</v>
      </c>
      <c r="T56" cm="1">
        <f t="array" ref="T56">_xlfn.LET(
 _xlpm.w, MIN(MAX($O56,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0.70002857142857156</v>
      </c>
      <c r="U56" cm="1">
        <f t="array" ref="U56">_xlfn.LET(
 _xlpm.w, MIN(MAX($O56,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0.80190857142857153</v>
      </c>
      <c r="V56" cm="1">
        <f t="array" ref="V56">_xlfn.LET(
 _xlpm.w, MIN(MAX($O56,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0.9037885714285715</v>
      </c>
      <c r="W56" cm="1">
        <f t="array" ref="W56">_xlfn.LET(
 _xlpm.w, MIN(MAX($O56,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6" cm="1">
        <f t="array" ref="X56">_xlfn.LET(
 _xlpm.w, MIN(MAX($O56,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6" cm="1">
        <f t="array" ref="Y56">_xlfn.LET(
 _xlpm.w, MIN(MAX($O56,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7" spans="3:25" x14ac:dyDescent="0.3">
      <c r="C57" s="7">
        <v>23</v>
      </c>
      <c r="D57">
        <f>_xlfn.LET(
 _xlpm.w, MIN(MAX($C57,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57">
        <f>_xlfn.LET(
 _xlpm.w, MIN(MAX($C57,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57">
        <f>_xlfn.LET(
 _xlpm.w, MIN(MAX($C57,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57">
        <f>_xlfn.LET(
 _xlpm.w, MIN(MAX($C57,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57">
        <f>_xlfn.LET(
 _xlpm.w, MIN(MAX($C57,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57">
        <f>_xlfn.LET(
 _xlpm.w, MIN(MAX($C57,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57">
        <f>_xlfn.LET(
 _xlpm.w, MIN(MAX($C57,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57">
        <f>_xlfn.LET(
 _xlpm.w, MIN(MAX($C57,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57">
        <f>_xlfn.LET(
 _xlpm.w, MIN(MAX($C57,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57">
        <f>_xlfn.LET(
 _xlpm.w, MIN(MAX($C57,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57" s="7">
        <v>23</v>
      </c>
      <c r="P57" cm="1">
        <f t="array" ref="P57">_xlfn.LET(
 _xlpm.w, MIN(MAX($O57,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0.29453000000000001</v>
      </c>
      <c r="Q57" cm="1">
        <f t="array" ref="Q57">_xlfn.LET(
 _xlpm.w, MIN(MAX($O57,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0.39641000000000004</v>
      </c>
      <c r="R57" cm="1">
        <f t="array" ref="R57">_xlfn.LET(
 _xlpm.w, MIN(MAX($O57,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0.49829000000000001</v>
      </c>
      <c r="S57" cm="1">
        <f t="array" ref="S57">_xlfn.LET(
 _xlpm.w, MIN(MAX($O57,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0.6001700000000002</v>
      </c>
      <c r="T57" cm="1">
        <f t="array" ref="T57">_xlfn.LET(
 _xlpm.w, MIN(MAX($O57,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0.70205000000000017</v>
      </c>
      <c r="U57" cm="1">
        <f t="array" ref="U57">_xlfn.LET(
 _xlpm.w, MIN(MAX($O57,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0.80393000000000014</v>
      </c>
      <c r="V57" cm="1">
        <f t="array" ref="V57">_xlfn.LET(
 _xlpm.w, MIN(MAX($O57,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0.90581000000000012</v>
      </c>
      <c r="W57" cm="1">
        <f t="array" ref="W57">_xlfn.LET(
 _xlpm.w, MIN(MAX($O57,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7" cm="1">
        <f t="array" ref="X57">_xlfn.LET(
 _xlpm.w, MIN(MAX($O57,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7" cm="1">
        <f t="array" ref="Y57">_xlfn.LET(
 _xlpm.w, MIN(MAX($O57,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8" spans="3:25" x14ac:dyDescent="0.3">
      <c r="C58" s="7">
        <v>24</v>
      </c>
      <c r="D58">
        <f>_xlfn.LET(
 _xlpm.w, MIN(MAX($C58,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58">
        <f>_xlfn.LET(
 _xlpm.w, MIN(MAX($C58,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58">
        <f>_xlfn.LET(
 _xlpm.w, MIN(MAX($C58,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58">
        <f>_xlfn.LET(
 _xlpm.w, MIN(MAX($C58,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58">
        <f>_xlfn.LET(
 _xlpm.w, MIN(MAX($C58,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58">
        <f>_xlfn.LET(
 _xlpm.w, MIN(MAX($C58,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58">
        <f>_xlfn.LET(
 _xlpm.w, MIN(MAX($C58,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58">
        <f>_xlfn.LET(
 _xlpm.w, MIN(MAX($C58,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58">
        <f>_xlfn.LET(
 _xlpm.w, MIN(MAX($C58,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58">
        <f>_xlfn.LET(
 _xlpm.w, MIN(MAX($C58,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58" s="7">
        <v>24</v>
      </c>
      <c r="P58" cm="1">
        <f t="array" ref="P58">_xlfn.LET(
 _xlpm.w, MIN(MAX($O58,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0.29655142857142858</v>
      </c>
      <c r="Q58" cm="1">
        <f t="array" ref="Q58">_xlfn.LET(
 _xlpm.w, MIN(MAX($O58,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0.3984314285714286</v>
      </c>
      <c r="R58" cm="1">
        <f t="array" ref="R58">_xlfn.LET(
 _xlpm.w, MIN(MAX($O58,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0.50031142857142863</v>
      </c>
      <c r="S58" cm="1">
        <f t="array" ref="S58">_xlfn.LET(
 _xlpm.w, MIN(MAX($O58,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0.60219142857142871</v>
      </c>
      <c r="T58" cm="1">
        <f t="array" ref="T58">_xlfn.LET(
 _xlpm.w, MIN(MAX($O58,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0.70407142857142868</v>
      </c>
      <c r="U58" cm="1">
        <f t="array" ref="U58">_xlfn.LET(
 _xlpm.w, MIN(MAX($O58,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0.80595142857142865</v>
      </c>
      <c r="V58" cm="1">
        <f t="array" ref="V58">_xlfn.LET(
 _xlpm.w, MIN(MAX($O58,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0.90783142857142862</v>
      </c>
      <c r="W58" cm="1">
        <f t="array" ref="W58">_xlfn.LET(
 _xlpm.w, MIN(MAX($O58,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8" cm="1">
        <f t="array" ref="X58">_xlfn.LET(
 _xlpm.w, MIN(MAX($O58,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8" cm="1">
        <f t="array" ref="Y58">_xlfn.LET(
 _xlpm.w, MIN(MAX($O58,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59" spans="3:25" x14ac:dyDescent="0.3">
      <c r="C59" s="7">
        <v>25</v>
      </c>
      <c r="D59">
        <f>_xlfn.LET(
 _xlpm.w, MIN(MAX($C59,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59">
        <f>_xlfn.LET(
 _xlpm.w, MIN(MAX($C59,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59">
        <f>_xlfn.LET(
 _xlpm.w, MIN(MAX($C59,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59">
        <f>_xlfn.LET(
 _xlpm.w, MIN(MAX($C59,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59">
        <f>_xlfn.LET(
 _xlpm.w, MIN(MAX($C59,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59">
        <f>_xlfn.LET(
 _xlpm.w, MIN(MAX($C59,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59">
        <f>_xlfn.LET(
 _xlpm.w, MIN(MAX($C59,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59">
        <f>_xlfn.LET(
 _xlpm.w, MIN(MAX($C59,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59">
        <f>_xlfn.LET(
 _xlpm.w, MIN(MAX($C59,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59">
        <f>_xlfn.LET(
 _xlpm.w, MIN(MAX($C59,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59" s="7">
        <v>25</v>
      </c>
      <c r="P59" cm="1">
        <f t="array" ref="P59">_xlfn.LET(
 _xlpm.w, MIN(MAX($O59,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0.29857285714285714</v>
      </c>
      <c r="Q59" cm="1">
        <f t="array" ref="Q59">_xlfn.LET(
 _xlpm.w, MIN(MAX($O59,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0.40045285714285722</v>
      </c>
      <c r="R59" cm="1">
        <f t="array" ref="R59">_xlfn.LET(
 _xlpm.w, MIN(MAX($O59,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0.50233285714285725</v>
      </c>
      <c r="S59" cm="1">
        <f t="array" ref="S59">_xlfn.LET(
 _xlpm.w, MIN(MAX($O59,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0.60421285714285733</v>
      </c>
      <c r="T59" cm="1">
        <f t="array" ref="T59">_xlfn.LET(
 _xlpm.w, MIN(MAX($O59,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0.7060928571428573</v>
      </c>
      <c r="U59" cm="1">
        <f t="array" ref="U59">_xlfn.LET(
 _xlpm.w, MIN(MAX($O59,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0.80797285714285727</v>
      </c>
      <c r="V59" cm="1">
        <f t="array" ref="V59">_xlfn.LET(
 _xlpm.w, MIN(MAX($O59,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0.90985285714285724</v>
      </c>
      <c r="W59" cm="1">
        <f t="array" ref="W59">_xlfn.LET(
 _xlpm.w, MIN(MAX($O59,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59" cm="1">
        <f t="array" ref="X59">_xlfn.LET(
 _xlpm.w, MIN(MAX($O59,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59" cm="1">
        <f t="array" ref="Y59">_xlfn.LET(
 _xlpm.w, MIN(MAX($O59,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60" spans="3:25" x14ac:dyDescent="0.3">
      <c r="C60" s="7">
        <v>26</v>
      </c>
      <c r="D60">
        <f>_xlfn.LET(
 _xlpm.w, MIN(MAX($C60,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60">
        <f>_xlfn.LET(
 _xlpm.w, MIN(MAX($C60,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60">
        <f>_xlfn.LET(
 _xlpm.w, MIN(MAX($C60,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60">
        <f>_xlfn.LET(
 _xlpm.w, MIN(MAX($C60,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60">
        <f>_xlfn.LET(
 _xlpm.w, MIN(MAX($C60,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60">
        <f>_xlfn.LET(
 _xlpm.w, MIN(MAX($C60,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60">
        <f>_xlfn.LET(
 _xlpm.w, MIN(MAX($C60,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60">
        <f>_xlfn.LET(
 _xlpm.w, MIN(MAX($C60,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60">
        <f>_xlfn.LET(
 _xlpm.w, MIN(MAX($C60,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60">
        <f>_xlfn.LET(
 _xlpm.w, MIN(MAX($C60,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60" s="7">
        <v>26</v>
      </c>
      <c r="P60" cm="1">
        <f t="array" ref="P60">_xlfn.LET(
 _xlpm.w, MIN(MAX($O60,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0.30059428571428576</v>
      </c>
      <c r="Q60" cm="1">
        <f t="array" ref="Q60">_xlfn.LET(
 _xlpm.w, MIN(MAX($O60,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0.40247428571428578</v>
      </c>
      <c r="R60" cm="1">
        <f t="array" ref="R60">_xlfn.LET(
 _xlpm.w, MIN(MAX($O60,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0.50435428571428575</v>
      </c>
      <c r="S60" cm="1">
        <f t="array" ref="S60">_xlfn.LET(
 _xlpm.w, MIN(MAX($O60,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0.60623428571428584</v>
      </c>
      <c r="T60" cm="1">
        <f t="array" ref="T60">_xlfn.LET(
 _xlpm.w, MIN(MAX($O60,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0.70811428571428581</v>
      </c>
      <c r="U60" cm="1">
        <f t="array" ref="U60">_xlfn.LET(
 _xlpm.w, MIN(MAX($O60,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0.80999428571428578</v>
      </c>
      <c r="V60" cm="1">
        <f t="array" ref="V60">_xlfn.LET(
 _xlpm.w, MIN(MAX($O60,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0.91187428571428575</v>
      </c>
      <c r="W60" cm="1">
        <f t="array" ref="W60">_xlfn.LET(
 _xlpm.w, MIN(MAX($O60,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60" cm="1">
        <f t="array" ref="X60">_xlfn.LET(
 _xlpm.w, MIN(MAX($O60,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60" cm="1">
        <f t="array" ref="Y60">_xlfn.LET(
 _xlpm.w, MIN(MAX($O60,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61" spans="3:25" x14ac:dyDescent="0.3">
      <c r="C61" s="7">
        <v>27</v>
      </c>
      <c r="D61">
        <f>_xlfn.LET(
 _xlpm.w, MIN(MAX($C61,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61">
        <f>_xlfn.LET(
 _xlpm.w, MIN(MAX($C61,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61">
        <f>_xlfn.LET(
 _xlpm.w, MIN(MAX($C61,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61">
        <f>_xlfn.LET(
 _xlpm.w, MIN(MAX($C61,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61">
        <f>_xlfn.LET(
 _xlpm.w, MIN(MAX($C61,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61">
        <f>_xlfn.LET(
 _xlpm.w, MIN(MAX($C61,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61">
        <f>_xlfn.LET(
 _xlpm.w, MIN(MAX($C61,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61">
        <f>_xlfn.LET(
 _xlpm.w, MIN(MAX($C61,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61">
        <f>_xlfn.LET(
 _xlpm.w, MIN(MAX($C61,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61">
        <f>_xlfn.LET(
 _xlpm.w, MIN(MAX($C61,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61" s="7">
        <v>27</v>
      </c>
      <c r="P61" cm="1">
        <f t="array" ref="P61">_xlfn.LET(
 _xlpm.w, MIN(MAX($O61,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0.30261571428571432</v>
      </c>
      <c r="Q61" cm="1">
        <f t="array" ref="Q61">_xlfn.LET(
 _xlpm.w, MIN(MAX($O61,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0.40449571428571435</v>
      </c>
      <c r="R61" cm="1">
        <f t="array" ref="R61">_xlfn.LET(
 _xlpm.w, MIN(MAX($O61,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0.50637571428571437</v>
      </c>
      <c r="S61" cm="1">
        <f t="array" ref="S61">_xlfn.LET(
 _xlpm.w, MIN(MAX($O61,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0.60825571428571445</v>
      </c>
      <c r="T61" cm="1">
        <f t="array" ref="T61">_xlfn.LET(
 _xlpm.w, MIN(MAX($O61,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0.71013571428571454</v>
      </c>
      <c r="U61" cm="1">
        <f t="array" ref="U61">_xlfn.LET(
 _xlpm.w, MIN(MAX($O61,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0.8120157142857144</v>
      </c>
      <c r="V61" cm="1">
        <f t="array" ref="V61">_xlfn.LET(
 _xlpm.w, MIN(MAX($O61,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0.91389571428571448</v>
      </c>
      <c r="W61" cm="1">
        <f t="array" ref="W61">_xlfn.LET(
 _xlpm.w, MIN(MAX($O61,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61" cm="1">
        <f t="array" ref="X61">_xlfn.LET(
 _xlpm.w, MIN(MAX($O61,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61" cm="1">
        <f t="array" ref="Y61">_xlfn.LET(
 _xlpm.w, MIN(MAX($O61,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62" spans="3:25" x14ac:dyDescent="0.3">
      <c r="C62" s="7">
        <v>28</v>
      </c>
      <c r="D62">
        <f>_xlfn.LET(
 _xlpm.w, MIN(MAX($C62,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62">
        <f>_xlfn.LET(
 _xlpm.w, MIN(MAX($C62,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62">
        <f>_xlfn.LET(
 _xlpm.w, MIN(MAX($C62,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62">
        <f>_xlfn.LET(
 _xlpm.w, MIN(MAX($C62,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62">
        <f>_xlfn.LET(
 _xlpm.w, MIN(MAX($C62,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62">
        <f>_xlfn.LET(
 _xlpm.w, MIN(MAX($C62,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62">
        <f>_xlfn.LET(
 _xlpm.w, MIN(MAX($C62,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62">
        <f>_xlfn.LET(
 _xlpm.w, MIN(MAX($C62,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62">
        <f>_xlfn.LET(
 _xlpm.w, MIN(MAX($C62,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62">
        <f>_xlfn.LET(
 _xlpm.w, MIN(MAX($C62,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62" s="7">
        <v>28</v>
      </c>
      <c r="P62" cm="1">
        <f t="array" ref="P62">_xlfn.LET(
 _xlpm.w, MIN(MAX($O62, min_width), max_width),
 _xlpm.normW, IF(max_width&gt;min_width,(_xlpm.w-min_width)/(max_width-min_width),0),
 _xlpm.base, p_min + P$35*(p_max - p_min) + flow_width_factor*_xlpm.normW,
 _xlpm.viscScale, 0.9 + 0.4*viscosity,
 _xlpm.viscOff, -0.05 + 0.15*viscosity,
 _xlpm.flowRaw, _xlpm.base*flow_scale*_xlpm.viscScale + (flow_offset + _xlpm.viscOff),
 MAX(p_min, MIN(p_max, _xlpm.flowRaw))
)</f>
        <v>0.30463714285714288</v>
      </c>
      <c r="Q62" cm="1">
        <f t="array" ref="Q62">_xlfn.LET(
 _xlpm.w, MIN(MAX($O62, min_width), max_width),
 _xlpm.normW, IF(max_width&gt;min_width,(_xlpm.w-min_width)/(max_width-min_width),0),
 _xlpm.base, p_min + Q$35*(p_max - p_min) + flow_width_factor*_xlpm.normW,
 _xlpm.viscScale, 0.9 + 0.4*viscosity,
 _xlpm.viscOff, -0.05 + 0.15*viscosity,
 _xlpm.flowRaw, _xlpm.base*flow_scale*_xlpm.viscScale + (flow_offset + _xlpm.viscOff),
 MAX(p_min, MIN(p_max, _xlpm.flowRaw))
)</f>
        <v>0.40651714285714291</v>
      </c>
      <c r="R62" cm="1">
        <f t="array" ref="R62">_xlfn.LET(
 _xlpm.w, MIN(MAX($O62, min_width), max_width),
 _xlpm.normW, IF(max_width&gt;min_width,(_xlpm.w-min_width)/(max_width-min_width),0),
 _xlpm.base, p_min + R$35*(p_max - p_min) + flow_width_factor*_xlpm.normW,
 _xlpm.viscScale, 0.9 + 0.4*viscosity,
 _xlpm.viscOff, -0.05 + 0.15*viscosity,
 _xlpm.flowRaw, _xlpm.base*flow_scale*_xlpm.viscScale + (flow_offset + _xlpm.viscOff),
 MAX(p_min, MIN(p_max, _xlpm.flowRaw))
)</f>
        <v>0.50839714285714288</v>
      </c>
      <c r="S62" cm="1">
        <f t="array" ref="S62">_xlfn.LET(
 _xlpm.w, MIN(MAX($O62, min_width), max_width),
 _xlpm.normW, IF(max_width&gt;min_width,(_xlpm.w-min_width)/(max_width-min_width),0),
 _xlpm.base, p_min + S$35*(p_max - p_min) + flow_width_factor*_xlpm.normW,
 _xlpm.viscScale, 0.9 + 0.4*viscosity,
 _xlpm.viscOff, -0.05 + 0.15*viscosity,
 _xlpm.flowRaw, _xlpm.base*flow_scale*_xlpm.viscScale + (flow_offset + _xlpm.viscOff),
 MAX(p_min, MIN(p_max, _xlpm.flowRaw))
)</f>
        <v>0.61027714285714296</v>
      </c>
      <c r="T62" cm="1">
        <f t="array" ref="T62">_xlfn.LET(
 _xlpm.w, MIN(MAX($O62, min_width), max_width),
 _xlpm.normW, IF(max_width&gt;min_width,(_xlpm.w-min_width)/(max_width-min_width),0),
 _xlpm.base, p_min + T$35*(p_max - p_min) + flow_width_factor*_xlpm.normW,
 _xlpm.viscScale, 0.9 + 0.4*viscosity,
 _xlpm.viscOff, -0.05 + 0.15*viscosity,
 _xlpm.flowRaw, _xlpm.base*flow_scale*_xlpm.viscScale + (flow_offset + _xlpm.viscOff),
 MAX(p_min, MIN(p_max, _xlpm.flowRaw))
)</f>
        <v>0.71215714285714304</v>
      </c>
      <c r="U62" cm="1">
        <f t="array" ref="U62">_xlfn.LET(
 _xlpm.w, MIN(MAX($O62, min_width), max_width),
 _xlpm.normW, IF(max_width&gt;min_width,(_xlpm.w-min_width)/(max_width-min_width),0),
 _xlpm.base, p_min + U$35*(p_max - p_min) + flow_width_factor*_xlpm.normW,
 _xlpm.viscScale, 0.9 + 0.4*viscosity,
 _xlpm.viscOff, -0.05 + 0.15*viscosity,
 _xlpm.flowRaw, _xlpm.base*flow_scale*_xlpm.viscScale + (flow_offset + _xlpm.viscOff),
 MAX(p_min, MIN(p_max, _xlpm.flowRaw))
)</f>
        <v>0.8140371428571429</v>
      </c>
      <c r="V62" cm="1">
        <f t="array" ref="V62">_xlfn.LET(
 _xlpm.w, MIN(MAX($O62, min_width), max_width),
 _xlpm.normW, IF(max_width&gt;min_width,(_xlpm.w-min_width)/(max_width-min_width),0),
 _xlpm.base, p_min + V$35*(p_max - p_min) + flow_width_factor*_xlpm.normW,
 _xlpm.viscScale, 0.9 + 0.4*viscosity,
 _xlpm.viscOff, -0.05 + 0.15*viscosity,
 _xlpm.flowRaw, _xlpm.base*flow_scale*_xlpm.viscScale + (flow_offset + _xlpm.viscOff),
 MAX(p_min, MIN(p_max, _xlpm.flowRaw))
)</f>
        <v>0.91591714285714299</v>
      </c>
      <c r="W62" cm="1">
        <f t="array" ref="W62">_xlfn.LET(
 _xlpm.w, MIN(MAX($O62, min_width), max_width),
 _xlpm.normW, IF(max_width&gt;min_width,(_xlpm.w-min_width)/(max_width-min_width),0),
 _xlpm.base, p_min + W$35*(p_max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X62" cm="1">
        <f t="array" ref="X62">_xlfn.LET(
 _xlpm.w, MIN(MAX($O62, min_width), max_width),
 _xlpm.normW, IF(max_width&gt;min_width,(_xlpm.w-min_width)/(max_width-min_width),0),
 _xlpm.base, p_min + X$35*(p_max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  <c r="Y62" cm="1">
        <f t="array" ref="Y62">_xlfn.LET(
 _xlpm.w, MIN(MAX($O62, min_width), max_width),
 _xlpm.normW, IF(max_width&gt;min_width,(_xlpm.w-min_width)/(max_width-min_width),0),
 _xlpm.base, p_min + Y$35*(p_max - p_min) + flow_width_factor*_xlpm.normW,
 _xlpm.viscScale, 0.9 + 0.4*viscosity,
 _xlpm.viscOff, -0.05 + 0.15*viscosity,
 _xlpm.flowRaw, _xlpm.base*flow_scale*_xlpm.viscScale + (flow_offset + _xlpm.viscOff),
 MAX(p_min, MIN(p_max, _xlpm.flowRaw))
)</f>
        <v>1</v>
      </c>
    </row>
    <row r="63" spans="3:25" x14ac:dyDescent="0.3">
      <c r="C63" s="7">
        <v>29</v>
      </c>
      <c r="D63">
        <f>_xlfn.LET(
 _xlpm.w, MIN(MAX($C63,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63">
        <f>_xlfn.LET(
 _xlpm.w, MIN(MAX($C63,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63">
        <f>_xlfn.LET(
 _xlpm.w, MIN(MAX($C63,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63">
        <f>_xlfn.LET(
 _xlpm.w, MIN(MAX($C63,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63">
        <f>_xlfn.LET(
 _xlpm.w, MIN(MAX($C63,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63">
        <f>_xlfn.LET(
 _xlpm.w, MIN(MAX($C63,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63">
        <f>_xlfn.LET(
 _xlpm.w, MIN(MAX($C63,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63">
        <f>_xlfn.LET(
 _xlpm.w, MIN(MAX($C63,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63">
        <f>_xlfn.LET(
 _xlpm.w, MIN(MAX($C63,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63">
        <f>_xlfn.LET(
 _xlpm.w, MIN(MAX($C63,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63" s="7">
        <v>29</v>
      </c>
      <c r="P63">
        <f>_xlfn.LET(
 _xlpm.w, MIN(MAX($C63, min_width), max_width),
 _xlpm.cone, TAN(RADIANS(spray_cone_angle/2)),
 _xlpm.z, MIN(MAX(_xlpm.w/(2*_xlpm.cone), z_min), z_max),
 _xlpm.sOpacity, opacity_speed_min + (1-P$35)^opacity_gamma*(1-opacity_speed_min),
 _xlpm.sfRaw, _xlpm.sOpacity * (z_min/_xlpm.z)^feedrate_z_exponent * (1-viscosity),
 _xlpm.sf, MAX(0,MIN(1,_xlpm.sfRaw)),
 MAX(feedrate_floor, v_max*_xlpm.sf) / 1524
)</f>
        <v>0.34605876631907134</v>
      </c>
      <c r="Q63">
        <f>_xlfn.LET(
 _xlpm.w, MIN(MAX($C63, min_width), max_width),
 _xlpm.cone, TAN(RADIANS(spray_cone_angle/2)),
 _xlpm.z, MIN(MAX(_xlpm.w/(2*_xlpm.cone), z_min), z_max),
 _xlpm.sOpacity, opacity_speed_min + (1-Q$35)^opacity_gamma*(1-opacity_speed_min),
 _xlpm.sfRaw, _xlpm.sOpacity * (z_min/_xlpm.z)^feedrate_z_exponent * (1-viscosity),
 _xlpm.sf, MAX(0,MIN(1,_xlpm.sfRaw)),
 MAX(feedrate_floor, v_max*_xlpm.sf) / 1524
)</f>
        <v>0.33319449875216078</v>
      </c>
      <c r="R63">
        <f>_xlfn.LET(
 _xlpm.w, MIN(MAX($C63, min_width), max_width),
 _xlpm.cone, TAN(RADIANS(spray_cone_angle/2)),
 _xlpm.z, MIN(MAX(_xlpm.w/(2*_xlpm.cone), z_min), z_max),
 _xlpm.sOpacity, opacity_speed_min + (1-R$35)^opacity_gamma*(1-opacity_speed_min),
 _xlpm.sfRaw, _xlpm.sOpacity * (z_min/_xlpm.z)^feedrate_z_exponent * (1-viscosity),
 _xlpm.sf, MAX(0,MIN(1,_xlpm.sfRaw)),
 MAX(feedrate_floor, v_max*_xlpm.sf) / 1524
)</f>
        <v>0.32109598626541941</v>
      </c>
      <c r="S63">
        <f>_xlfn.LET(
 _xlpm.w, MIN(MAX($C63, min_width), max_width),
 _xlpm.cone, TAN(RADIANS(spray_cone_angle/2)),
 _xlpm.z, MIN(MAX(_xlpm.w/(2*_xlpm.cone), z_min), z_max),
 _xlpm.sOpacity, opacity_speed_min + (1-S$35)^opacity_gamma*(1-opacity_speed_min),
 _xlpm.sfRaw, _xlpm.sOpacity * (z_min/_xlpm.z)^feedrate_z_exponent * (1-viscosity),
 _xlpm.sf, MAX(0,MIN(1,_xlpm.sfRaw)),
 MAX(feedrate_floor, v_max*_xlpm.sf) / 1524
)</f>
        <v>0.3098174483074827</v>
      </c>
      <c r="T63">
        <f>_xlfn.LET(
 _xlpm.w, MIN(MAX($C63, min_width), max_width),
 _xlpm.cone, TAN(RADIANS(spray_cone_angle/2)),
 _xlpm.z, MIN(MAX(_xlpm.w/(2*_xlpm.cone), z_min), z_max),
 _xlpm.sOpacity, opacity_speed_min + (1-T$35)^opacity_gamma*(1-opacity_speed_min),
 _xlpm.sfRaw, _xlpm.sOpacity * (z_min/_xlpm.z)^feedrate_z_exponent * (1-viscosity),
 _xlpm.sf, MAX(0,MIN(1,_xlpm.sfRaw)),
 MAX(feedrate_floor, v_max*_xlpm.sf) / 1524
)</f>
        <v>0.29942637538658434</v>
      </c>
      <c r="U63">
        <f>_xlfn.LET(
 _xlpm.w, MIN(MAX($C63, min_width), max_width),
 _xlpm.cone, TAN(RADIANS(spray_cone_angle/2)),
 _xlpm.z, MIN(MAX(_xlpm.w/(2*_xlpm.cone), z_min), z_max),
 _xlpm.sOpacity, opacity_speed_min + (1-U$35)^opacity_gamma*(1-opacity_speed_min),
 _xlpm.sfRaw, _xlpm.sOpacity * (z_min/_xlpm.z)^feedrate_z_exponent * (1-viscosity),
 _xlpm.sf, MAX(0,MIN(1,_xlpm.sfRaw)),
 MAX(feedrate_floor, v_max*_xlpm.sf) / 1524
)</f>
        <v>0.29001002388189978</v>
      </c>
      <c r="V63">
        <f>_xlfn.LET(
 _xlpm.w, MIN(MAX($C63, min_width), max_width),
 _xlpm.cone, TAN(RADIANS(spray_cone_angle/2)),
 _xlpm.z, MIN(MAX(_xlpm.w/(2*_xlpm.cone), z_min), z_max),
 _xlpm.sOpacity, opacity_speed_min + (1-V$35)^opacity_gamma*(1-opacity_speed_min),
 _xlpm.sfRaw, _xlpm.sOpacity * (z_min/_xlpm.z)^feedrate_z_exponent * (1-viscosity),
 _xlpm.sf, MAX(0,MIN(1,_xlpm.sfRaw)),
 MAX(feedrate_floor, v_max*_xlpm.sf) / 1524
)</f>
        <v>0.28168750056734315</v>
      </c>
      <c r="W63">
        <f>_xlfn.LET(
 _xlpm.w, MIN(MAX($C63, min_width), max_width),
 _xlpm.cone, TAN(RADIANS(spray_cone_angle/2)),
 _xlpm.z, MIN(MAX(_xlpm.w/(2*_xlpm.cone), z_min), z_max),
 _xlpm.sOpacity, opacity_speed_min + (1-W$35)^opacity_gamma*(1-opacity_speed_min),
 _xlpm.sfRaw, _xlpm.sOpacity * (z_min/_xlpm.z)^feedrate_z_exponent * (1-viscosity),
 _xlpm.sf, MAX(0,MIN(1,_xlpm.sfRaw)),
 MAX(feedrate_floor, v_max*_xlpm.sf) / 1524
)</f>
        <v>0.2746358089104618</v>
      </c>
      <c r="X63">
        <f>_xlfn.LET(
 _xlpm.w, MIN(MAX($C63, min_width), max_width),
 _xlpm.cone, TAN(RADIANS(spray_cone_angle/2)),
 _xlpm.z, MIN(MAX(_xlpm.w/(2*_xlpm.cone), z_min), z_max),
 _xlpm.sOpacity, opacity_speed_min + (1-X$35)^opacity_gamma*(1-opacity_speed_min),
 _xlpm.sfRaw, _xlpm.sOpacity * (z_min/_xlpm.z)^feedrate_z_exponent * (1-viscosity),
 _xlpm.sf, MAX(0,MIN(1,_xlpm.sfRaw)),
 MAX(feedrate_floor, v_max*_xlpm.sf) / 1524
)</f>
        <v>0.26916239545115483</v>
      </c>
      <c r="Y63">
        <f>_xlfn.LET(
 _xlpm.w, MIN(MAX($C63, min_width), max_width),
 _xlpm.cone, TAN(RADIANS(spray_cone_angle/2)),
 _xlpm.z, MIN(MAX(_xlpm.w/(2*_xlpm.cone), z_min), z_max),
 _xlpm.sOpacity, opacity_speed_min + (1-Y$35)^opacity_gamma*(1-opacity_speed_min),
 _xlpm.sfRaw, _xlpm.sOpacity * (z_min/_xlpm.z)^feedrate_z_exponent * (1-viscosity),
 _xlpm.sf, MAX(0,MIN(1,_xlpm.sfRaw)),
 MAX(feedrate_floor, v_max*_xlpm.sf) / 1524
)</f>
        <v>0.26613665660144087</v>
      </c>
    </row>
    <row r="64" spans="3:25" x14ac:dyDescent="0.3">
      <c r="C64" s="7">
        <v>30</v>
      </c>
      <c r="D64">
        <f>_xlfn.LET(
 _xlpm.w, MIN(MAX($C64, min_width), max_width),
 _xlpm.cone, TAN(RADIANS(spray_cone_angle/2)),
 _xlpm.z, MIN(MAX(_xlpm.w/(2*_xlpm.cone), z_min), z_max),
 _xlpm.sOpacity, opacity_speed_min + (1-D$35)^opacity_gamma*(1-opacity_speed_min),
 _xlpm.sfRaw, _xlpm.sOpacity * (z_min/_xlpm.z)^feedrate_z_exponent * (1-viscosity),
 _xlpm.sf, MAX(0,MIN(1,_xlpm.sfRaw)),
 MAX(feedrate_floor, v_max*_xlpm.sf) / 1524
)</f>
        <v>0.34605876631907134</v>
      </c>
      <c r="E64">
        <f>_xlfn.LET(
 _xlpm.w, MIN(MAX($C64, min_width), max_width),
 _xlpm.cone, TAN(RADIANS(spray_cone_angle/2)),
 _xlpm.z, MIN(MAX(_xlpm.w/(2*_xlpm.cone), z_min), z_max),
 _xlpm.sOpacity, opacity_speed_min + (1-E$35)^opacity_gamma*(1-opacity_speed_min),
 _xlpm.sfRaw, _xlpm.sOpacity * (z_min/_xlpm.z)^feedrate_z_exponent * (1-viscosity),
 _xlpm.sf, MAX(0,MIN(1,_xlpm.sfRaw)),
 MAX(feedrate_floor, v_max*_xlpm.sf) / 1524
)</f>
        <v>0.33319449875216078</v>
      </c>
      <c r="F64">
        <f>_xlfn.LET(
 _xlpm.w, MIN(MAX($C64, min_width), max_width),
 _xlpm.cone, TAN(RADIANS(spray_cone_angle/2)),
 _xlpm.z, MIN(MAX(_xlpm.w/(2*_xlpm.cone), z_min), z_max),
 _xlpm.sOpacity, opacity_speed_min + (1-F$35)^opacity_gamma*(1-opacity_speed_min),
 _xlpm.sfRaw, _xlpm.sOpacity * (z_min/_xlpm.z)^feedrate_z_exponent * (1-viscosity),
 _xlpm.sf, MAX(0,MIN(1,_xlpm.sfRaw)),
 MAX(feedrate_floor, v_max*_xlpm.sf) / 1524
)</f>
        <v>0.32109598626541941</v>
      </c>
      <c r="G64">
        <f>_xlfn.LET(
 _xlpm.w, MIN(MAX($C64, min_width), max_width),
 _xlpm.cone, TAN(RADIANS(spray_cone_angle/2)),
 _xlpm.z, MIN(MAX(_xlpm.w/(2*_xlpm.cone), z_min), z_max),
 _xlpm.sOpacity, opacity_speed_min + (1-G$35)^opacity_gamma*(1-opacity_speed_min),
 _xlpm.sfRaw, _xlpm.sOpacity * (z_min/_xlpm.z)^feedrate_z_exponent * (1-viscosity),
 _xlpm.sf, MAX(0,MIN(1,_xlpm.sfRaw)),
 MAX(feedrate_floor, v_max*_xlpm.sf) / 1524
)</f>
        <v>0.3098174483074827</v>
      </c>
      <c r="H64">
        <f>_xlfn.LET(
 _xlpm.w, MIN(MAX($C64, min_width), max_width),
 _xlpm.cone, TAN(RADIANS(spray_cone_angle/2)),
 _xlpm.z, MIN(MAX(_xlpm.w/(2*_xlpm.cone), z_min), z_max),
 _xlpm.sOpacity, opacity_speed_min + (1-H$35)^opacity_gamma*(1-opacity_speed_min),
 _xlpm.sfRaw, _xlpm.sOpacity * (z_min/_xlpm.z)^feedrate_z_exponent * (1-viscosity),
 _xlpm.sf, MAX(0,MIN(1,_xlpm.sfRaw)),
 MAX(feedrate_floor, v_max*_xlpm.sf) / 1524
)</f>
        <v>0.29942637538658434</v>
      </c>
      <c r="I64">
        <f>_xlfn.LET(
 _xlpm.w, MIN(MAX($C64, min_width), max_width),
 _xlpm.cone, TAN(RADIANS(spray_cone_angle/2)),
 _xlpm.z, MIN(MAX(_xlpm.w/(2*_xlpm.cone), z_min), z_max),
 _xlpm.sOpacity, opacity_speed_min + (1-I$35)^opacity_gamma*(1-opacity_speed_min),
 _xlpm.sfRaw, _xlpm.sOpacity * (z_min/_xlpm.z)^feedrate_z_exponent * (1-viscosity),
 _xlpm.sf, MAX(0,MIN(1,_xlpm.sfRaw)),
 MAX(feedrate_floor, v_max*_xlpm.sf) / 1524
)</f>
        <v>0.29001002388189978</v>
      </c>
      <c r="J64">
        <f>_xlfn.LET(
 _xlpm.w, MIN(MAX($C64, min_width), max_width),
 _xlpm.cone, TAN(RADIANS(spray_cone_angle/2)),
 _xlpm.z, MIN(MAX(_xlpm.w/(2*_xlpm.cone), z_min), z_max),
 _xlpm.sOpacity, opacity_speed_min + (1-J$35)^opacity_gamma*(1-opacity_speed_min),
 _xlpm.sfRaw, _xlpm.sOpacity * (z_min/_xlpm.z)^feedrate_z_exponent * (1-viscosity),
 _xlpm.sf, MAX(0,MIN(1,_xlpm.sfRaw)),
 MAX(feedrate_floor, v_max*_xlpm.sf) / 1524
)</f>
        <v>0.28168750056734315</v>
      </c>
      <c r="K64">
        <f>_xlfn.LET(
 _xlpm.w, MIN(MAX($C64, min_width), max_width),
 _xlpm.cone, TAN(RADIANS(spray_cone_angle/2)),
 _xlpm.z, MIN(MAX(_xlpm.w/(2*_xlpm.cone), z_min), z_max),
 _xlpm.sOpacity, opacity_speed_min + (1-K$35)^opacity_gamma*(1-opacity_speed_min),
 _xlpm.sfRaw, _xlpm.sOpacity * (z_min/_xlpm.z)^feedrate_z_exponent * (1-viscosity),
 _xlpm.sf, MAX(0,MIN(1,_xlpm.sfRaw)),
 MAX(feedrate_floor, v_max*_xlpm.sf) / 1524
)</f>
        <v>0.2746358089104618</v>
      </c>
      <c r="L64">
        <f>_xlfn.LET(
 _xlpm.w, MIN(MAX($C64, min_width), max_width),
 _xlpm.cone, TAN(RADIANS(spray_cone_angle/2)),
 _xlpm.z, MIN(MAX(_xlpm.w/(2*_xlpm.cone), z_min), z_max),
 _xlpm.sOpacity, opacity_speed_min + (1-L$35)^opacity_gamma*(1-opacity_speed_min),
 _xlpm.sfRaw, _xlpm.sOpacity * (z_min/_xlpm.z)^feedrate_z_exponent * (1-viscosity),
 _xlpm.sf, MAX(0,MIN(1,_xlpm.sfRaw)),
 MAX(feedrate_floor, v_max*_xlpm.sf) / 1524
)</f>
        <v>0.26916239545115483</v>
      </c>
      <c r="M64">
        <f>_xlfn.LET(
 _xlpm.w, MIN(MAX($C64, min_width), max_width),
 _xlpm.cone, TAN(RADIANS(spray_cone_angle/2)),
 _xlpm.z, MIN(MAX(_xlpm.w/(2*_xlpm.cone), z_min), z_max),
 _xlpm.sOpacity, opacity_speed_min + (1-M$35)^opacity_gamma*(1-opacity_speed_min),
 _xlpm.sfRaw, _xlpm.sOpacity * (z_min/_xlpm.z)^feedrate_z_exponent * (1-viscosity),
 _xlpm.sf, MAX(0,MIN(1,_xlpm.sfRaw)),
 MAX(feedrate_floor, v_max*_xlpm.sf) / 1524
)</f>
        <v>0.26613665660144087</v>
      </c>
      <c r="O64" s="7">
        <v>30</v>
      </c>
      <c r="P64">
        <f>_xlfn.LET(
 _xlpm.w, MIN(MAX($C64, min_width), max_width),
 _xlpm.cone, TAN(RADIANS(spray_cone_angle/2)),
 _xlpm.z, MIN(MAX(_xlpm.w/(2*_xlpm.cone), z_min), z_max),
 _xlpm.sOpacity, opacity_speed_min + (1-P$35)^opacity_gamma*(1-opacity_speed_min),
 _xlpm.sfRaw, _xlpm.sOpacity * (z_min/_xlpm.z)^feedrate_z_exponent * (1-viscosity),
 _xlpm.sf, MAX(0,MIN(1,_xlpm.sfRaw)),
 MAX(feedrate_floor, v_max*_xlpm.sf) / 1524
)</f>
        <v>0.34605876631907134</v>
      </c>
      <c r="Q64">
        <f>_xlfn.LET(
 _xlpm.w, MIN(MAX($C64, min_width), max_width),
 _xlpm.cone, TAN(RADIANS(spray_cone_angle/2)),
 _xlpm.z, MIN(MAX(_xlpm.w/(2*_xlpm.cone), z_min), z_max),
 _xlpm.sOpacity, opacity_speed_min + (1-Q$35)^opacity_gamma*(1-opacity_speed_min),
 _xlpm.sfRaw, _xlpm.sOpacity * (z_min/_xlpm.z)^feedrate_z_exponent * (1-viscosity),
 _xlpm.sf, MAX(0,MIN(1,_xlpm.sfRaw)),
 MAX(feedrate_floor, v_max*_xlpm.sf) / 1524
)</f>
        <v>0.33319449875216078</v>
      </c>
      <c r="R64">
        <f>_xlfn.LET(
 _xlpm.w, MIN(MAX($C64, min_width), max_width),
 _xlpm.cone, TAN(RADIANS(spray_cone_angle/2)),
 _xlpm.z, MIN(MAX(_xlpm.w/(2*_xlpm.cone), z_min), z_max),
 _xlpm.sOpacity, opacity_speed_min + (1-R$35)^opacity_gamma*(1-opacity_speed_min),
 _xlpm.sfRaw, _xlpm.sOpacity * (z_min/_xlpm.z)^feedrate_z_exponent * (1-viscosity),
 _xlpm.sf, MAX(0,MIN(1,_xlpm.sfRaw)),
 MAX(feedrate_floor, v_max*_xlpm.sf) / 1524
)</f>
        <v>0.32109598626541941</v>
      </c>
      <c r="S64">
        <f>_xlfn.LET(
 _xlpm.w, MIN(MAX($C64, min_width), max_width),
 _xlpm.cone, TAN(RADIANS(spray_cone_angle/2)),
 _xlpm.z, MIN(MAX(_xlpm.w/(2*_xlpm.cone), z_min), z_max),
 _xlpm.sOpacity, opacity_speed_min + (1-S$35)^opacity_gamma*(1-opacity_speed_min),
 _xlpm.sfRaw, _xlpm.sOpacity * (z_min/_xlpm.z)^feedrate_z_exponent * (1-viscosity),
 _xlpm.sf, MAX(0,MIN(1,_xlpm.sfRaw)),
 MAX(feedrate_floor, v_max*_xlpm.sf) / 1524
)</f>
        <v>0.3098174483074827</v>
      </c>
      <c r="T64">
        <f>_xlfn.LET(
 _xlpm.w, MIN(MAX($C64, min_width), max_width),
 _xlpm.cone, TAN(RADIANS(spray_cone_angle/2)),
 _xlpm.z, MIN(MAX(_xlpm.w/(2*_xlpm.cone), z_min), z_max),
 _xlpm.sOpacity, opacity_speed_min + (1-T$35)^opacity_gamma*(1-opacity_speed_min),
 _xlpm.sfRaw, _xlpm.sOpacity * (z_min/_xlpm.z)^feedrate_z_exponent * (1-viscosity),
 _xlpm.sf, MAX(0,MIN(1,_xlpm.sfRaw)),
 MAX(feedrate_floor, v_max*_xlpm.sf) / 1524
)</f>
        <v>0.29942637538658434</v>
      </c>
      <c r="U64">
        <f>_xlfn.LET(
 _xlpm.w, MIN(MAX($C64, min_width), max_width),
 _xlpm.cone, TAN(RADIANS(spray_cone_angle/2)),
 _xlpm.z, MIN(MAX(_xlpm.w/(2*_xlpm.cone), z_min), z_max),
 _xlpm.sOpacity, opacity_speed_min + (1-U$35)^opacity_gamma*(1-opacity_speed_min),
 _xlpm.sfRaw, _xlpm.sOpacity * (z_min/_xlpm.z)^feedrate_z_exponent * (1-viscosity),
 _xlpm.sf, MAX(0,MIN(1,_xlpm.sfRaw)),
 MAX(feedrate_floor, v_max*_xlpm.sf) / 1524
)</f>
        <v>0.29001002388189978</v>
      </c>
      <c r="V64">
        <f>_xlfn.LET(
 _xlpm.w, MIN(MAX($C64, min_width), max_width),
 _xlpm.cone, TAN(RADIANS(spray_cone_angle/2)),
 _xlpm.z, MIN(MAX(_xlpm.w/(2*_xlpm.cone), z_min), z_max),
 _xlpm.sOpacity, opacity_speed_min + (1-V$35)^opacity_gamma*(1-opacity_speed_min),
 _xlpm.sfRaw, _xlpm.sOpacity * (z_min/_xlpm.z)^feedrate_z_exponent * (1-viscosity),
 _xlpm.sf, MAX(0,MIN(1,_xlpm.sfRaw)),
 MAX(feedrate_floor, v_max*_xlpm.sf) / 1524
)</f>
        <v>0.28168750056734315</v>
      </c>
      <c r="W64">
        <f>_xlfn.LET(
 _xlpm.w, MIN(MAX($C64, min_width), max_width),
 _xlpm.cone, TAN(RADIANS(spray_cone_angle/2)),
 _xlpm.z, MIN(MAX(_xlpm.w/(2*_xlpm.cone), z_min), z_max),
 _xlpm.sOpacity, opacity_speed_min + (1-W$35)^opacity_gamma*(1-opacity_speed_min),
 _xlpm.sfRaw, _xlpm.sOpacity * (z_min/_xlpm.z)^feedrate_z_exponent * (1-viscosity),
 _xlpm.sf, MAX(0,MIN(1,_xlpm.sfRaw)),
 MAX(feedrate_floor, v_max*_xlpm.sf) / 1524
)</f>
        <v>0.2746358089104618</v>
      </c>
      <c r="X64">
        <f>_xlfn.LET(
 _xlpm.w, MIN(MAX($C64, min_width), max_width),
 _xlpm.cone, TAN(RADIANS(spray_cone_angle/2)),
 _xlpm.z, MIN(MAX(_xlpm.w/(2*_xlpm.cone), z_min), z_max),
 _xlpm.sOpacity, opacity_speed_min + (1-X$35)^opacity_gamma*(1-opacity_speed_min),
 _xlpm.sfRaw, _xlpm.sOpacity * (z_min/_xlpm.z)^feedrate_z_exponent * (1-viscosity),
 _xlpm.sf, MAX(0,MIN(1,_xlpm.sfRaw)),
 MAX(feedrate_floor, v_max*_xlpm.sf) / 1524
)</f>
        <v>0.26916239545115483</v>
      </c>
      <c r="Y64">
        <f>_xlfn.LET(
 _xlpm.w, MIN(MAX($C64, min_width), max_width),
 _xlpm.cone, TAN(RADIANS(spray_cone_angle/2)),
 _xlpm.z, MIN(MAX(_xlpm.w/(2*_xlpm.cone), z_min), z_max),
 _xlpm.sOpacity, opacity_speed_min + (1-Y$35)^opacity_gamma*(1-opacity_speed_min),
 _xlpm.sfRaw, _xlpm.sOpacity * (z_min/_xlpm.z)^feedrate_z_exponent * (1-viscosity),
 _xlpm.sf, MAX(0,MIN(1,_xlpm.sfRaw)),
 MAX(feedrate_floor, v_max*_xlpm.sf) / 1524
)</f>
        <v>0.26613665660144087</v>
      </c>
    </row>
  </sheetData>
  <conditionalFormatting sqref="N29:N3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M6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6:Y6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3" name="Scroll Bar 6">
              <controlPr defaultSize="0" autoPict="0">
                <anchor moveWithCells="1">
                  <from>
                    <xdr:col>0</xdr:col>
                    <xdr:colOff>0</xdr:colOff>
                    <xdr:row>28</xdr:row>
                    <xdr:rowOff>0</xdr:rowOff>
                  </from>
                  <to>
                    <xdr:col>1</xdr:col>
                    <xdr:colOff>2758440</xdr:colOff>
                    <xdr:row>29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4" name="Scroll Bar 8">
              <controlPr defaultSize="0" autoPict="0">
                <anchor moveWithCells="1">
                  <from>
                    <xdr:col>0</xdr:col>
                    <xdr:colOff>15240</xdr:colOff>
                    <xdr:row>31</xdr:row>
                    <xdr:rowOff>30480</xdr:rowOff>
                  </from>
                  <to>
                    <xdr:col>1</xdr:col>
                    <xdr:colOff>2773680</xdr:colOff>
                    <xdr:row>32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Scroll Bar 2">
              <controlPr defaultSize="0" autoPict="0">
                <anchor moveWithCells="1">
                  <from>
                    <xdr:col>0</xdr:col>
                    <xdr:colOff>22860</xdr:colOff>
                    <xdr:row>4</xdr:row>
                    <xdr:rowOff>30480</xdr:rowOff>
                  </from>
                  <to>
                    <xdr:col>1</xdr:col>
                    <xdr:colOff>2766060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Scroll Bar 3">
              <controlPr defaultSize="0" autoPict="0">
                <anchor moveWithCells="1">
                  <from>
                    <xdr:col>0</xdr:col>
                    <xdr:colOff>0</xdr:colOff>
                    <xdr:row>7</xdr:row>
                    <xdr:rowOff>30480</xdr:rowOff>
                  </from>
                  <to>
                    <xdr:col>2</xdr:col>
                    <xdr:colOff>0</xdr:colOff>
                    <xdr:row>9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Scroll Bar 4">
              <controlPr defaultSize="0" autoPict="0">
                <anchor moveWithCells="1">
                  <from>
                    <xdr:col>0</xdr:col>
                    <xdr:colOff>0</xdr:colOff>
                    <xdr:row>10</xdr:row>
                    <xdr:rowOff>7620</xdr:rowOff>
                  </from>
                  <to>
                    <xdr:col>1</xdr:col>
                    <xdr:colOff>2773680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Scroll Bar 5">
              <controlPr defaultSize="0" autoPict="0">
                <anchor moveWithCells="1">
                  <from>
                    <xdr:col>0</xdr:col>
                    <xdr:colOff>0</xdr:colOff>
                    <xdr:row>21</xdr:row>
                    <xdr:rowOff>30480</xdr:rowOff>
                  </from>
                  <to>
                    <xdr:col>1</xdr:col>
                    <xdr:colOff>2766060</xdr:colOff>
                    <xdr:row>23</xdr:row>
                    <xdr:rowOff>22860</xdr:rowOff>
                  </to>
                </anchor>
              </controlPr>
            </control>
          </mc:Choice>
        </mc:AlternateContent>
      </controls>
    </mc:Choice>
  </mc:AlternateContent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</vt:i4>
      </vt:variant>
    </vt:vector>
  </HeadingPairs>
  <TitlesOfParts>
    <vt:vector size="18" baseType="lpstr">
      <vt:lpstr>Model</vt:lpstr>
      <vt:lpstr>feedrate_floor</vt:lpstr>
      <vt:lpstr>feedrate_z_exponent</vt:lpstr>
      <vt:lpstr>flow_offset</vt:lpstr>
      <vt:lpstr>flow_scale</vt:lpstr>
      <vt:lpstr>flow_width_factor</vt:lpstr>
      <vt:lpstr>max_width</vt:lpstr>
      <vt:lpstr>min_width</vt:lpstr>
      <vt:lpstr>opacity_gamma</vt:lpstr>
      <vt:lpstr>opacity_speed_min</vt:lpstr>
      <vt:lpstr>p_max</vt:lpstr>
      <vt:lpstr>p_min</vt:lpstr>
      <vt:lpstr>spray_cone_angle</vt:lpstr>
      <vt:lpstr>v_max</vt:lpstr>
      <vt:lpstr>viscosity</vt:lpstr>
      <vt:lpstr>width</vt:lpstr>
      <vt:lpstr>z_max</vt:lpstr>
      <vt:lpstr>z_min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Tremblay</cp:lastModifiedBy>
  <dcterms:created xsi:type="dcterms:W3CDTF">2025-09-23T22:32:20Z</dcterms:created>
  <dcterms:modified xsi:type="dcterms:W3CDTF">2025-09-25T01:34:33Z</dcterms:modified>
</cp:coreProperties>
</file>