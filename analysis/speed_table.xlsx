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rem\Projects\gcodegen\analysis\"/>
    </mc:Choice>
  </mc:AlternateContent>
  <xr:revisionPtr revIDLastSave="0" documentId="13_ncr:9_{CE0B609B-77E1-4854-8626-EA9ECAB45898}" xr6:coauthVersionLast="47" xr6:coauthVersionMax="47" xr10:uidLastSave="{00000000-0000-0000-0000-000000000000}"/>
  <bookViews>
    <workbookView xWindow="1248" yWindow="312" windowWidth="38808" windowHeight="25380" xr2:uid="{ADBC5C8C-19C5-42FD-8CFA-181103E7F67A}"/>
  </bookViews>
  <sheets>
    <sheet name="Model" sheetId="2" r:id="rId1"/>
  </sheets>
  <definedNames>
    <definedName name="feedrate_floor">Model!$B$24</definedName>
    <definedName name="feedrate_z_exponent">Model!$B$21</definedName>
    <definedName name="max_width">Model!$B$15</definedName>
    <definedName name="min_width">Model!$B$13</definedName>
    <definedName name="opacity_gamma">Model!$B$7</definedName>
    <definedName name="opacity_speed_min">Model!$B$28</definedName>
    <definedName name="spray_cone_angle">Model!$B$26</definedName>
    <definedName name="v_max">Model!$B$4</definedName>
    <definedName name="viscosity">Model!$B$10</definedName>
    <definedName name="width">Model!$B$31</definedName>
    <definedName name="z_max">Model!$B$19</definedName>
    <definedName name="z_min">Model!$B$17</definedName>
  </definedNames>
  <calcPr calcId="0"/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5" i="2"/>
  <c r="B28" i="2"/>
  <c r="B21" i="2"/>
  <c r="L21" i="2" s="1"/>
  <c r="B10" i="2"/>
  <c r="G18" i="2" s="1"/>
  <c r="V18" i="2" s="1"/>
  <c r="B7" i="2"/>
  <c r="F23" i="2" s="1"/>
  <c r="S23" i="2" s="1"/>
  <c r="N5" i="2"/>
  <c r="P5" i="2" s="1"/>
  <c r="N6" i="2"/>
  <c r="P6" i="2" s="1"/>
  <c r="N7" i="2"/>
  <c r="P7" i="2" s="1"/>
  <c r="N8" i="2"/>
  <c r="P8" i="2" s="1"/>
  <c r="N9" i="2"/>
  <c r="P9" i="2" s="1"/>
  <c r="N10" i="2"/>
  <c r="P10" i="2" s="1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P24" i="2" s="1"/>
  <c r="N25" i="2"/>
  <c r="P25" i="2" s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H61" i="2" l="1"/>
  <c r="H64" i="2"/>
  <c r="G61" i="2"/>
  <c r="G64" i="2"/>
  <c r="F61" i="2"/>
  <c r="F64" i="2"/>
  <c r="D36" i="2"/>
  <c r="E61" i="2"/>
  <c r="E64" i="2"/>
  <c r="D61" i="2"/>
  <c r="D64" i="2"/>
  <c r="M62" i="2"/>
  <c r="M60" i="2"/>
  <c r="M63" i="2"/>
  <c r="L62" i="2"/>
  <c r="L60" i="2"/>
  <c r="L63" i="2"/>
  <c r="K62" i="2"/>
  <c r="K60" i="2"/>
  <c r="K63" i="2"/>
  <c r="J62" i="2"/>
  <c r="J60" i="2"/>
  <c r="J63" i="2"/>
  <c r="I62" i="2"/>
  <c r="I60" i="2"/>
  <c r="I63" i="2"/>
  <c r="H62" i="2"/>
  <c r="H60" i="2"/>
  <c r="H63" i="2"/>
  <c r="G62" i="2"/>
  <c r="G60" i="2"/>
  <c r="G63" i="2"/>
  <c r="F62" i="2"/>
  <c r="F60" i="2"/>
  <c r="F63" i="2"/>
  <c r="E62" i="2"/>
  <c r="E60" i="2"/>
  <c r="E63" i="2"/>
  <c r="D62" i="2"/>
  <c r="D60" i="2"/>
  <c r="D63" i="2"/>
  <c r="M61" i="2"/>
  <c r="M64" i="2"/>
  <c r="L61" i="2"/>
  <c r="L64" i="2"/>
  <c r="K61" i="2"/>
  <c r="K64" i="2"/>
  <c r="J61" i="2"/>
  <c r="J64" i="2"/>
  <c r="I61" i="2"/>
  <c r="I64" i="2"/>
  <c r="L36" i="2"/>
  <c r="I36" i="2"/>
  <c r="F36" i="2"/>
  <c r="G36" i="2"/>
  <c r="E36" i="2"/>
  <c r="M36" i="2"/>
  <c r="K36" i="2"/>
  <c r="J36" i="2"/>
  <c r="H36" i="2"/>
  <c r="O13" i="2"/>
  <c r="Q13" i="2" s="1"/>
  <c r="R13" i="2" s="1"/>
  <c r="O19" i="2"/>
  <c r="Q19" i="2" s="1"/>
  <c r="R19" i="2" s="1"/>
  <c r="O21" i="2"/>
  <c r="Q21" i="2" s="1"/>
  <c r="R21" i="2" s="1"/>
  <c r="U21" i="2" s="1"/>
  <c r="M46" i="2"/>
  <c r="F56" i="2"/>
  <c r="E59" i="2"/>
  <c r="M58" i="2"/>
  <c r="F51" i="2"/>
  <c r="L50" i="2"/>
  <c r="M49" i="2"/>
  <c r="T8" i="2"/>
  <c r="M59" i="2"/>
  <c r="D59" i="2"/>
  <c r="L58" i="2"/>
  <c r="E51" i="2"/>
  <c r="D47" i="2"/>
  <c r="L46" i="2"/>
  <c r="H46" i="2"/>
  <c r="G46" i="2"/>
  <c r="T11" i="2"/>
  <c r="H44" i="2"/>
  <c r="T10" i="2"/>
  <c r="G41" i="2"/>
  <c r="G44" i="2"/>
  <c r="K55" i="2"/>
  <c r="L43" i="2"/>
  <c r="F54" i="2"/>
  <c r="M42" i="2"/>
  <c r="E56" i="2"/>
  <c r="H41" i="2"/>
  <c r="F41" i="2"/>
  <c r="T22" i="2"/>
  <c r="L52" i="2"/>
  <c r="E41" i="2"/>
  <c r="F44" i="2"/>
  <c r="T24" i="2"/>
  <c r="L53" i="2"/>
  <c r="T19" i="2"/>
  <c r="I52" i="2"/>
  <c r="L40" i="2"/>
  <c r="E54" i="2"/>
  <c r="M53" i="2"/>
  <c r="T23" i="2"/>
  <c r="T12" i="2"/>
  <c r="H52" i="2"/>
  <c r="J39" i="2"/>
  <c r="G51" i="2"/>
  <c r="L42" i="2"/>
  <c r="I58" i="2"/>
  <c r="M56" i="2"/>
  <c r="H49" i="2"/>
  <c r="M39" i="2"/>
  <c r="L56" i="2"/>
  <c r="G49" i="2"/>
  <c r="H56" i="2"/>
  <c r="H47" i="2"/>
  <c r="H39" i="2"/>
  <c r="J49" i="2"/>
  <c r="T25" i="2"/>
  <c r="G56" i="2"/>
  <c r="E47" i="2"/>
  <c r="G39" i="2"/>
  <c r="L59" i="2"/>
  <c r="J55" i="2"/>
  <c r="F46" i="2"/>
  <c r="H40" i="2"/>
  <c r="J59" i="2"/>
  <c r="E46" i="2"/>
  <c r="G55" i="2"/>
  <c r="D45" i="2"/>
  <c r="F40" i="2"/>
  <c r="I50" i="2"/>
  <c r="H55" i="2"/>
  <c r="G50" i="2"/>
  <c r="G40" i="2"/>
  <c r="G59" i="2"/>
  <c r="F50" i="2"/>
  <c r="F59" i="2"/>
  <c r="G54" i="2"/>
  <c r="E50" i="2"/>
  <c r="I44" i="2"/>
  <c r="E40" i="2"/>
  <c r="F49" i="2"/>
  <c r="E38" i="2"/>
  <c r="F58" i="2"/>
  <c r="M47" i="2"/>
  <c r="J43" i="2"/>
  <c r="G57" i="2"/>
  <c r="L47" i="2"/>
  <c r="L37" i="2"/>
  <c r="T15" i="2"/>
  <c r="E57" i="2"/>
  <c r="D53" i="2"/>
  <c r="K47" i="2"/>
  <c r="E43" i="2"/>
  <c r="H37" i="2"/>
  <c r="J53" i="2"/>
  <c r="K43" i="2"/>
  <c r="T18" i="2"/>
  <c r="F53" i="2"/>
  <c r="M37" i="2"/>
  <c r="T16" i="2"/>
  <c r="E53" i="2"/>
  <c r="F43" i="2"/>
  <c r="T13" i="2"/>
  <c r="D57" i="2"/>
  <c r="M52" i="2"/>
  <c r="J47" i="2"/>
  <c r="D43" i="2"/>
  <c r="G37" i="2"/>
  <c r="T7" i="2"/>
  <c r="E58" i="2"/>
  <c r="F55" i="2"/>
  <c r="G52" i="2"/>
  <c r="D49" i="2"/>
  <c r="K45" i="2"/>
  <c r="I42" i="2"/>
  <c r="F39" i="2"/>
  <c r="T6" i="2"/>
  <c r="M57" i="2"/>
  <c r="E55" i="2"/>
  <c r="E52" i="2"/>
  <c r="M48" i="2"/>
  <c r="J45" i="2"/>
  <c r="H42" i="2"/>
  <c r="D39" i="2"/>
  <c r="L57" i="2"/>
  <c r="D55" i="2"/>
  <c r="M51" i="2"/>
  <c r="L48" i="2"/>
  <c r="H45" i="2"/>
  <c r="E42" i="2"/>
  <c r="M38" i="2"/>
  <c r="K57" i="2"/>
  <c r="M54" i="2"/>
  <c r="L51" i="2"/>
  <c r="I48" i="2"/>
  <c r="G45" i="2"/>
  <c r="M41" i="2"/>
  <c r="L38" i="2"/>
  <c r="J57" i="2"/>
  <c r="I54" i="2"/>
  <c r="K51" i="2"/>
  <c r="F48" i="2"/>
  <c r="F45" i="2"/>
  <c r="L41" i="2"/>
  <c r="I38" i="2"/>
  <c r="H57" i="2"/>
  <c r="H54" i="2"/>
  <c r="H51" i="2"/>
  <c r="E48" i="2"/>
  <c r="E45" i="2"/>
  <c r="K41" i="2"/>
  <c r="F38" i="2"/>
  <c r="H59" i="2"/>
  <c r="I56" i="2"/>
  <c r="K53" i="2"/>
  <c r="H50" i="2"/>
  <c r="G47" i="2"/>
  <c r="M43" i="2"/>
  <c r="I40" i="2"/>
  <c r="F37" i="2"/>
  <c r="J51" i="2"/>
  <c r="E49" i="2"/>
  <c r="I46" i="2"/>
  <c r="E44" i="2"/>
  <c r="J41" i="2"/>
  <c r="E39" i="2"/>
  <c r="T5" i="2"/>
  <c r="H58" i="2"/>
  <c r="M55" i="2"/>
  <c r="H53" i="2"/>
  <c r="D51" i="2"/>
  <c r="H48" i="2"/>
  <c r="M45" i="2"/>
  <c r="H43" i="2"/>
  <c r="D41" i="2"/>
  <c r="H38" i="2"/>
  <c r="G58" i="2"/>
  <c r="L55" i="2"/>
  <c r="G53" i="2"/>
  <c r="M50" i="2"/>
  <c r="G48" i="2"/>
  <c r="L45" i="2"/>
  <c r="G43" i="2"/>
  <c r="M40" i="2"/>
  <c r="G38" i="2"/>
  <c r="L49" i="2"/>
  <c r="M44" i="2"/>
  <c r="G42" i="2"/>
  <c r="L39" i="2"/>
  <c r="E37" i="2"/>
  <c r="T17" i="2"/>
  <c r="K59" i="2"/>
  <c r="F57" i="2"/>
  <c r="L54" i="2"/>
  <c r="F52" i="2"/>
  <c r="K49" i="2"/>
  <c r="F47" i="2"/>
  <c r="L44" i="2"/>
  <c r="F42" i="2"/>
  <c r="K39" i="2"/>
  <c r="K37" i="2"/>
  <c r="J37" i="2"/>
  <c r="T9" i="2"/>
  <c r="I59" i="2"/>
  <c r="I57" i="2"/>
  <c r="I55" i="2"/>
  <c r="I53" i="2"/>
  <c r="I51" i="2"/>
  <c r="I49" i="2"/>
  <c r="I47" i="2"/>
  <c r="I45" i="2"/>
  <c r="I43" i="2"/>
  <c r="I41" i="2"/>
  <c r="I39" i="2"/>
  <c r="I37" i="2"/>
  <c r="D37" i="2"/>
  <c r="T21" i="2"/>
  <c r="K58" i="2"/>
  <c r="K56" i="2"/>
  <c r="K54" i="2"/>
  <c r="K52" i="2"/>
  <c r="K50" i="2"/>
  <c r="K48" i="2"/>
  <c r="K46" i="2"/>
  <c r="K44" i="2"/>
  <c r="K42" i="2"/>
  <c r="K40" i="2"/>
  <c r="K38" i="2"/>
  <c r="T20" i="2"/>
  <c r="J58" i="2"/>
  <c r="J56" i="2"/>
  <c r="J54" i="2"/>
  <c r="J52" i="2"/>
  <c r="J50" i="2"/>
  <c r="J48" i="2"/>
  <c r="J46" i="2"/>
  <c r="J44" i="2"/>
  <c r="J42" i="2"/>
  <c r="J40" i="2"/>
  <c r="J38" i="2"/>
  <c r="T14" i="2"/>
  <c r="D58" i="2"/>
  <c r="D56" i="2"/>
  <c r="D54" i="2"/>
  <c r="D52" i="2"/>
  <c r="D50" i="2"/>
  <c r="D48" i="2"/>
  <c r="D46" i="2"/>
  <c r="D44" i="2"/>
  <c r="D42" i="2"/>
  <c r="D40" i="2"/>
  <c r="D38" i="2"/>
  <c r="F22" i="2"/>
  <c r="S22" i="2" s="1"/>
  <c r="L24" i="2"/>
  <c r="L23" i="2"/>
  <c r="L22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25" i="2"/>
  <c r="L5" i="2"/>
  <c r="G8" i="2"/>
  <c r="V8" i="2" s="1"/>
  <c r="G9" i="2"/>
  <c r="V9" i="2" s="1"/>
  <c r="G17" i="2"/>
  <c r="V17" i="2" s="1"/>
  <c r="G13" i="2"/>
  <c r="V13" i="2" s="1"/>
  <c r="G11" i="2"/>
  <c r="V11" i="2" s="1"/>
  <c r="G16" i="2"/>
  <c r="V16" i="2" s="1"/>
  <c r="G15" i="2"/>
  <c r="V15" i="2" s="1"/>
  <c r="G14" i="2"/>
  <c r="V14" i="2" s="1"/>
  <c r="G12" i="2"/>
  <c r="V12" i="2" s="1"/>
  <c r="G10" i="2"/>
  <c r="V10" i="2" s="1"/>
  <c r="G7" i="2"/>
  <c r="V7" i="2" s="1"/>
  <c r="G6" i="2"/>
  <c r="V6" i="2" s="1"/>
  <c r="G25" i="2"/>
  <c r="V25" i="2" s="1"/>
  <c r="G5" i="2"/>
  <c r="V5" i="2" s="1"/>
  <c r="G24" i="2"/>
  <c r="V24" i="2" s="1"/>
  <c r="G23" i="2"/>
  <c r="V23" i="2" s="1"/>
  <c r="G22" i="2"/>
  <c r="V22" i="2" s="1"/>
  <c r="G21" i="2"/>
  <c r="V21" i="2" s="1"/>
  <c r="G20" i="2"/>
  <c r="V20" i="2" s="1"/>
  <c r="G19" i="2"/>
  <c r="V19" i="2" s="1"/>
  <c r="F24" i="2"/>
  <c r="S24" i="2" s="1"/>
  <c r="F9" i="2"/>
  <c r="S9" i="2" s="1"/>
  <c r="F5" i="2"/>
  <c r="S5" i="2" s="1"/>
  <c r="F25" i="2"/>
  <c r="S25" i="2" s="1"/>
  <c r="F20" i="2"/>
  <c r="S20" i="2" s="1"/>
  <c r="F19" i="2"/>
  <c r="S19" i="2" s="1"/>
  <c r="F16" i="2"/>
  <c r="S16" i="2" s="1"/>
  <c r="F15" i="2"/>
  <c r="S15" i="2" s="1"/>
  <c r="F14" i="2"/>
  <c r="S14" i="2" s="1"/>
  <c r="F13" i="2"/>
  <c r="S13" i="2" s="1"/>
  <c r="F21" i="2"/>
  <c r="S21" i="2" s="1"/>
  <c r="F8" i="2"/>
  <c r="S8" i="2" s="1"/>
  <c r="F7" i="2"/>
  <c r="S7" i="2" s="1"/>
  <c r="F6" i="2"/>
  <c r="S6" i="2" s="1"/>
  <c r="F18" i="2"/>
  <c r="S18" i="2" s="1"/>
  <c r="F17" i="2"/>
  <c r="S17" i="2" s="1"/>
  <c r="F12" i="2"/>
  <c r="S12" i="2" s="1"/>
  <c r="F11" i="2"/>
  <c r="S11" i="2" s="1"/>
  <c r="F10" i="2"/>
  <c r="S10" i="2" s="1"/>
  <c r="O12" i="2"/>
  <c r="Q12" i="2" s="1"/>
  <c r="R12" i="2" s="1"/>
  <c r="O11" i="2"/>
  <c r="Q11" i="2" s="1"/>
  <c r="R11" i="2" s="1"/>
  <c r="O10" i="2"/>
  <c r="Q10" i="2" s="1"/>
  <c r="R10" i="2" s="1"/>
  <c r="O8" i="2"/>
  <c r="Q8" i="2" s="1"/>
  <c r="R8" i="2" s="1"/>
  <c r="O9" i="2"/>
  <c r="Q9" i="2" s="1"/>
  <c r="R9" i="2" s="1"/>
  <c r="O14" i="2"/>
  <c r="Q14" i="2" s="1"/>
  <c r="R14" i="2" s="1"/>
  <c r="O7" i="2"/>
  <c r="Q7" i="2" s="1"/>
  <c r="R7" i="2" s="1"/>
  <c r="O16" i="2"/>
  <c r="Q16" i="2" s="1"/>
  <c r="R16" i="2" s="1"/>
  <c r="O15" i="2"/>
  <c r="Q15" i="2" s="1"/>
  <c r="R15" i="2" s="1"/>
  <c r="O6" i="2"/>
  <c r="Q6" i="2" s="1"/>
  <c r="R6" i="2" s="1"/>
  <c r="O25" i="2"/>
  <c r="Q25" i="2" s="1"/>
  <c r="R25" i="2" s="1"/>
  <c r="O5" i="2"/>
  <c r="Q5" i="2" s="1"/>
  <c r="R5" i="2" s="1"/>
  <c r="O18" i="2"/>
  <c r="Q18" i="2" s="1"/>
  <c r="R18" i="2" s="1"/>
  <c r="O20" i="2"/>
  <c r="Q20" i="2" s="1"/>
  <c r="R20" i="2" s="1"/>
  <c r="O17" i="2"/>
  <c r="Q17" i="2" s="1"/>
  <c r="R17" i="2" s="1"/>
  <c r="O24" i="2"/>
  <c r="Q24" i="2" s="1"/>
  <c r="R24" i="2" s="1"/>
  <c r="O23" i="2"/>
  <c r="Q23" i="2" s="1"/>
  <c r="R23" i="2" s="1"/>
  <c r="O22" i="2"/>
  <c r="Q22" i="2" s="1"/>
  <c r="R22" i="2" s="1"/>
  <c r="W21" i="2" l="1"/>
  <c r="X21" i="2" s="1"/>
  <c r="Y21" i="2" s="1"/>
  <c r="U25" i="2"/>
  <c r="W25" i="2" s="1"/>
  <c r="U14" i="2"/>
  <c r="W14" i="2" s="1"/>
  <c r="U16" i="2"/>
  <c r="W16" i="2" s="1"/>
  <c r="U22" i="2"/>
  <c r="W22" i="2" s="1"/>
  <c r="U15" i="2"/>
  <c r="W15" i="2" s="1"/>
  <c r="U17" i="2"/>
  <c r="W17" i="2" s="1"/>
  <c r="U23" i="2"/>
  <c r="W23" i="2" s="1"/>
  <c r="U18" i="2"/>
  <c r="U6" i="2"/>
  <c r="W6" i="2" s="1"/>
  <c r="U19" i="2"/>
  <c r="W19" i="2" s="1"/>
  <c r="U7" i="2"/>
  <c r="W7" i="2" s="1"/>
  <c r="U12" i="2"/>
  <c r="W12" i="2" s="1"/>
  <c r="U24" i="2"/>
  <c r="W24" i="2" s="1"/>
  <c r="U11" i="2"/>
  <c r="W11" i="2" s="1"/>
  <c r="U13" i="2"/>
  <c r="W13" i="2" s="1"/>
  <c r="U9" i="2"/>
  <c r="W9" i="2" s="1"/>
  <c r="U8" i="2"/>
  <c r="W8" i="2" s="1"/>
  <c r="U10" i="2"/>
  <c r="W10" i="2" s="1"/>
  <c r="U20" i="2"/>
  <c r="W20" i="2" s="1"/>
  <c r="U5" i="2"/>
  <c r="W5" i="2" s="1"/>
  <c r="W18" i="2" l="1"/>
  <c r="X18" i="2" s="1"/>
  <c r="Y18" i="2" s="1"/>
  <c r="X5" i="2"/>
  <c r="Y5" i="2" s="1"/>
  <c r="X10" i="2"/>
  <c r="Y10" i="2" s="1"/>
  <c r="X8" i="2"/>
  <c r="Y8" i="2" s="1"/>
  <c r="X11" i="2"/>
  <c r="Y11" i="2" s="1"/>
  <c r="X24" i="2"/>
  <c r="Y24" i="2" s="1"/>
  <c r="X12" i="2"/>
  <c r="Y12" i="2" s="1"/>
  <c r="X19" i="2"/>
  <c r="Y19" i="2" s="1"/>
  <c r="X13" i="2"/>
  <c r="Y13" i="2" s="1"/>
  <c r="X14" i="2"/>
  <c r="Y14" i="2" s="1"/>
  <c r="X25" i="2"/>
  <c r="Y25" i="2" s="1"/>
  <c r="X22" i="2"/>
  <c r="Y22" i="2" s="1"/>
  <c r="X16" i="2"/>
  <c r="Y16" i="2" s="1"/>
  <c r="X15" i="2"/>
  <c r="Y15" i="2" s="1"/>
  <c r="X20" i="2"/>
  <c r="Y20" i="2" s="1"/>
  <c r="X6" i="2"/>
  <c r="Y6" i="2" s="1"/>
  <c r="X23" i="2"/>
  <c r="Y23" i="2" s="1"/>
  <c r="X17" i="2"/>
  <c r="Y17" i="2" s="1"/>
  <c r="X7" i="2"/>
  <c r="Y7" i="2" s="1"/>
  <c r="X9" i="2"/>
  <c r="Y9" i="2" s="1"/>
</calcChain>
</file>

<file path=xl/sharedStrings.xml><?xml version="1.0" encoding="utf-8"?>
<sst xmlns="http://schemas.openxmlformats.org/spreadsheetml/2006/main" count="38" uniqueCount="28">
  <si>
    <t>width_mm</t>
  </si>
  <si>
    <t>opacity</t>
  </si>
  <si>
    <t>z_min</t>
  </si>
  <si>
    <t>z_max</t>
  </si>
  <si>
    <t>viscosity</t>
  </si>
  <si>
    <t>v_max</t>
  </si>
  <si>
    <t>opacity_factor</t>
  </si>
  <si>
    <t>z_factor</t>
  </si>
  <si>
    <t>visc_factor</t>
  </si>
  <si>
    <t>speed_factor</t>
  </si>
  <si>
    <t xml:space="preserve">opacity_gamma </t>
  </si>
  <si>
    <t>min_width</t>
  </si>
  <si>
    <t>max_width</t>
  </si>
  <si>
    <t xml:space="preserve">feedrate_z_exponent </t>
  </si>
  <si>
    <t xml:space="preserve">feedrate_floor </t>
  </si>
  <si>
    <t xml:space="preserve">spray_cone_angle </t>
  </si>
  <si>
    <t>feedrate</t>
  </si>
  <si>
    <t>width_eff</t>
  </si>
  <si>
    <t>cone</t>
  </si>
  <si>
    <t>z_raw</t>
  </si>
  <si>
    <t>z</t>
  </si>
  <si>
    <t>IPS</t>
  </si>
  <si>
    <t>IPS Heatmap</t>
  </si>
  <si>
    <t xml:space="preserve">Opacity &gt; </t>
  </si>
  <si>
    <t>MM Width \/</t>
  </si>
  <si>
    <t>opacity_speed_min</t>
  </si>
  <si>
    <t>s_opacity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</si>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</sst>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8" fillId="34" borderId="0" xfId="0" applyFont="1" applyFill="1"/>
    <xf numFmtId="0" fontId="13" fillId="35" borderId="10" xfId="0" applyFont="1" applyFill="1" applyBorder="1"/>
    <xf numFmtId="0" fontId="19" fillId="36" borderId="0" xfId="0" applyFont="1" applyFill="1"/>
    <xf numFmtId="0" fontId="17" fillId="37" borderId="0" xfId="0" applyFont="1" applyFill="1"/>
    <xf numFmtId="0" fontId="17" fillId="38" borderId="0" xfId="0" applyFont="1" applyFill="1"/>
    <xf numFmtId="0" fontId="17" fillId="38" borderId="0" xfId="0" applyFont="1" applyFill="1" applyAlignment="1">
      <alignment horizontal="center"/>
    </xf>
    <xf numFmtId="0" fontId="17" fillId="37" borderId="0" xfId="0" applyFont="1" applyFill="1" applyAlignment="1">
      <alignment horizontal="center"/>
    </xf>
    <xf numFmtId="0" fontId="0" fillId="39" borderId="0" xfId="0" applyFill="1"/>
    <xf numFmtId="0" fontId="17" fillId="39" borderId="0" xfId="0" applyFont="1" applyFill="1" applyAlignment="1">
      <alignment horizontal="center"/>
    </xf>
    <xf numFmtId="0" fontId="13" fillId="40" borderId="0" xfId="0" applyFont="1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6" fmlaLink="$B$30" horiz="1" max="99" min="1" val="74"/>
</file>

<file path=xl/ctrlProps/ctrlProp2.xml><?xml version="1.0" encoding="utf-8"?>
<formControlPr xmlns="http://schemas.microsoft.com/office/spreadsheetml/2009/9/main" objectType="Scroll" dx="26" fmlaLink="width" horiz="1" max="30" val="0"/>
</file>

<file path=xl/ctrlProps/ctrlProp3.xml><?xml version="1.0" encoding="utf-8"?>
<formControlPr xmlns="http://schemas.microsoft.com/office/spreadsheetml/2009/9/main" objectType="Scroll" dx="26" fmlaLink="v_max" horiz="1" max="24000" page="10" val="2871"/>
</file>

<file path=xl/ctrlProps/ctrlProp4.xml><?xml version="1.0" encoding="utf-8"?>
<formControlPr xmlns="http://schemas.microsoft.com/office/spreadsheetml/2009/9/main" objectType="Scroll" dx="26" fmlaLink="$B$8" horiz="1" max="200" min="1" page="10" val="149"/>
</file>

<file path=xl/ctrlProps/ctrlProp5.xml><?xml version="1.0" encoding="utf-8"?>
<formControlPr xmlns="http://schemas.microsoft.com/office/spreadsheetml/2009/9/main" objectType="Scroll" dx="26" fmlaLink="$B$11" horiz="1" max="100" min="1" page="10" val="51"/>
</file>

<file path=xl/ctrlProps/ctrlProp6.xml><?xml version="1.0" encoding="utf-8"?>
<formControlPr xmlns="http://schemas.microsoft.com/office/spreadsheetml/2009/9/main" objectType="Scroll" dx="26" fmlaLink="$B$22" horiz="1" max="200" min="1" page="10" val="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4</xdr:row>
          <xdr:rowOff>30480</xdr:rowOff>
        </xdr:from>
        <xdr:to>
          <xdr:col>1</xdr:col>
          <xdr:colOff>2766060</xdr:colOff>
          <xdr:row>6</xdr:row>
          <xdr:rowOff>15240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30480</xdr:rowOff>
        </xdr:from>
        <xdr:to>
          <xdr:col>2</xdr:col>
          <xdr:colOff>0</xdr:colOff>
          <xdr:row>9</xdr:row>
          <xdr:rowOff>7620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7620</xdr:rowOff>
        </xdr:from>
        <xdr:to>
          <xdr:col>1</xdr:col>
          <xdr:colOff>2773680</xdr:colOff>
          <xdr:row>12</xdr:row>
          <xdr:rowOff>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30480</xdr:rowOff>
        </xdr:from>
        <xdr:to>
          <xdr:col>1</xdr:col>
          <xdr:colOff>2766060</xdr:colOff>
          <xdr:row>23</xdr:row>
          <xdr:rowOff>22860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1</xdr:col>
          <xdr:colOff>2758440</xdr:colOff>
          <xdr:row>29</xdr:row>
          <xdr:rowOff>160020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31</xdr:row>
          <xdr:rowOff>30480</xdr:rowOff>
        </xdr:from>
        <xdr:to>
          <xdr:col>1</xdr:col>
          <xdr:colOff>2773680</xdr:colOff>
          <xdr:row>32</xdr:row>
          <xdr:rowOff>167640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BD4EF-DE6C-4B48-B8EA-89EE2BDEED4E}" name="Table1" displayName="Table1" ref="C4:Y25" totalsRowShown="0">
  <autoFilter ref="C4:Y25" xr:uid="{312BD4EF-DE6C-4B48-B8EA-89EE2BDEED4E}"/>
  <tableColumns count="23">
    <tableColumn id="1" xr3:uid="{6908DEA3-616A-4A76-9AED-33A154B8692B}" name="width_mm">
      <calculatedColumnFormula>width</calculatedColumnFormula>
    </tableColumn>
    <tableColumn id="2" xr3:uid="{3E49A15C-D89E-478E-80FF-54D6DF805F8D}" name="opacity"/>
    <tableColumn id="3" xr3:uid="{B4AB4E25-73A5-42CF-8B89-3E8A124F14C4}" name="v_max" dataDxfId="12">
      <calculatedColumnFormula>v_max</calculatedColumnFormula>
    </tableColumn>
    <tableColumn id="4" xr3:uid="{D6CEE933-36F1-4282-AB40-2AE55441A8D1}" name="opacity_gamma " dataDxfId="13">
      <calculatedColumnFormula>opacity_gamma</calculatedColumnFormula>
    </tableColumn>
    <tableColumn id="5" xr3:uid="{0A028DFF-12F7-40F2-A968-25A9A5414B49}" name="viscosity" dataDxfId="14">
      <calculatedColumnFormula>viscosity</calculatedColumnFormula>
    </tableColumn>
    <tableColumn id="6" xr3:uid="{BBE28BCC-EEE0-43D7-962D-25D899D9A6EB}" name="min_width" dataDxfId="15">
      <calculatedColumnFormula>min_width</calculatedColumnFormula>
    </tableColumn>
    <tableColumn id="7" xr3:uid="{26F1E5F4-2133-4978-96DA-C7E5ED79CBB8}" name="max_width" dataDxfId="16">
      <calculatedColumnFormula>max_width</calculatedColumnFormula>
    </tableColumn>
    <tableColumn id="8" xr3:uid="{5FDA2A36-0F6C-4088-8A4C-83E463CF5B25}" name="z_min" dataDxfId="11">
      <calculatedColumnFormula>z_min</calculatedColumnFormula>
    </tableColumn>
    <tableColumn id="9" xr3:uid="{708FB954-A706-4FA2-9580-26DC4B9DFCAA}" name="z_max" dataDxfId="10">
      <calculatedColumnFormula>z_max</calculatedColumnFormula>
    </tableColumn>
    <tableColumn id="10" xr3:uid="{BA310A85-6F3B-4C94-B001-8CECB6046815}" name="feedrate_z_exponent " dataDxfId="9">
      <calculatedColumnFormula>feedrate_z_exponent</calculatedColumnFormula>
    </tableColumn>
    <tableColumn id="11" xr3:uid="{1CE0ECDF-5BCE-4A8C-8A13-F4776000FF95}" name="feedrate_floor " dataDxfId="8">
      <calculatedColumnFormula>feedrate_floor</calculatedColumnFormula>
    </tableColumn>
    <tableColumn id="12" xr3:uid="{48EB6188-CB55-4FA9-B7E7-554F1043F177}" name="spray_cone_angle " dataDxfId="7">
      <calculatedColumnFormula>spray_cone_angle</calculatedColumnFormula>
    </tableColumn>
    <tableColumn id="16" xr3:uid="{8B8B9EB4-D59D-4911-95B0-25B9681BA29D}" name="width_eff" dataDxfId="20">
      <calculatedColumnFormula>MIN(MAX(Table1[[#This Row],[width_mm]],Table1[[#This Row],[min_width]]),Table1[[#This Row],[max_width]])</calculatedColumnFormula>
    </tableColumn>
    <tableColumn id="15" xr3:uid="{98F7681E-5DE6-4DC6-B3DA-266BFAB12E8D}" name="cone" dataDxfId="19">
      <calculatedColumnFormula>TAN(RADIANS(Table1[[#This Row],[spray_cone_angle ]]/2))</calculatedColumnFormula>
    </tableColumn>
    <tableColumn id="14" xr3:uid="{FEC75162-7E2A-4FB4-AE62-A588EA02DCC5}" name="z_raw" dataDxfId="2">
      <calculatedColumnFormula>Table1[[#This Row],[width_eff]]/(2 * Table1[[#This Row],[cone]])</calculatedColumnFormula>
    </tableColumn>
    <tableColumn id="22" xr3:uid="{BE77CAF6-DC0D-49E9-8527-D247E6542C02}" name="z" dataDxfId="0">
      <calculatedColumnFormula>MIN(MAX(Table1[[#This Row],[z_raw]],Table1[[#This Row],[z_min]]),Table1[[#This Row],[z_max]])</calculatedColumnFormula>
    </tableColumn>
    <tableColumn id="17" xr3:uid="{494471F3-00B3-48C7-9C10-97EA3178F597}" name="opacity_factor" dataDxfId="1">
      <calculatedColumnFormula>(1-Table1[[#This Row],[opacity]])^Table1[[#This Row],[opacity_gamma ]]</calculatedColumnFormula>
    </tableColumn>
    <tableColumn id="24" xr3:uid="{23618EAE-F55F-4DCC-9A78-B33C69EA20C4}" name="s_opacity" dataDxfId="4">
      <calculatedColumnFormula>opacity_speed_min + (1-Table1[[#This Row],[opacity]])^opacity_gamma*(1-opacity_speed_min)</calculatedColumnFormula>
    </tableColumn>
    <tableColumn id="18" xr3:uid="{980892F6-B119-4600-8A60-777BE210B9C4}" name="z_factor" dataDxfId="18">
      <calculatedColumnFormula>(Table1[[#This Row],[z_min]]/Table1[[#This Row],[z]])^Table1[[#This Row],[feedrate_z_exponent ]]</calculatedColumnFormula>
    </tableColumn>
    <tableColumn id="21" xr3:uid="{91BEE736-2577-4BB8-AE2C-D5344AFBBC67}" name="visc_factor" dataDxfId="17">
      <calculatedColumnFormula>MAX(0,MIN(1,1-Table1[[#This Row],[viscosity]]))</calculatedColumnFormula>
    </tableColumn>
    <tableColumn id="20" xr3:uid="{0DCA5EF1-FDD7-45E6-B783-03C6080BA6D6}" name="speed_factor" dataDxfId="3">
      <calculatedColumnFormula>MAX(0,MIN(1,Table1[[#This Row],[s_opacity]]*Table1[[#This Row],[z_factor]]))*Table1[[#This Row],[visc_factor]]</calculatedColumnFormula>
    </tableColumn>
    <tableColumn id="13" xr3:uid="{53719805-1CE0-4972-9D21-0CC0200D1307}" name="feedrate" dataDxfId="6">
      <calculatedColumnFormula>MAX(Table1[[#This Row],[feedrate_floor ]],Table1[[#This Row],[v_max]]*Table1[[#This Row],[speed_factor]])</calculatedColumnFormula>
    </tableColumn>
    <tableColumn id="23" xr3:uid="{AC40DB61-EBA3-43B5-A5C0-EDEA2A7E8B63}" name="IPS" dataDxfId="5">
      <calculatedColumnFormula>Table1[[#This Row],[feedrate]]/1524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F952-558E-40FD-B9DC-7322D9068791}">
  <dimension ref="A4:Y64"/>
  <sheetViews>
    <sheetView tabSelected="1" workbookViewId="0">
      <selection activeCell="B2" sqref="B2"/>
    </sheetView>
  </sheetViews>
  <sheetFormatPr defaultRowHeight="14.4" x14ac:dyDescent="0.3"/>
  <cols>
    <col min="1" max="1" width="18.6640625" bestFit="1" customWidth="1"/>
    <col min="2" max="2" width="40.5546875" customWidth="1"/>
    <col min="3" max="23" width="12.6640625" customWidth="1"/>
  </cols>
  <sheetData>
    <row r="4" spans="1:25" x14ac:dyDescent="0.3">
      <c r="A4" s="3" t="s">
        <v>5</v>
      </c>
      <c r="B4" s="10">
        <v>2871</v>
      </c>
      <c r="C4" t="s">
        <v>0</v>
      </c>
      <c r="D4" t="s">
        <v>1</v>
      </c>
      <c r="E4" t="s">
        <v>5</v>
      </c>
      <c r="F4" t="s">
        <v>10</v>
      </c>
      <c r="G4" t="s">
        <v>4</v>
      </c>
      <c r="H4" t="s">
        <v>11</v>
      </c>
      <c r="I4" t="s">
        <v>12</v>
      </c>
      <c r="J4" t="s">
        <v>2</v>
      </c>
      <c r="K4" t="s">
        <v>3</v>
      </c>
      <c r="L4" t="s">
        <v>13</v>
      </c>
      <c r="M4" t="s">
        <v>14</v>
      </c>
      <c r="N4" t="s">
        <v>15</v>
      </c>
      <c r="O4" t="s">
        <v>17</v>
      </c>
      <c r="P4" t="s">
        <v>18</v>
      </c>
      <c r="Q4" t="s">
        <v>19</v>
      </c>
      <c r="R4" t="s">
        <v>20</v>
      </c>
      <c r="S4" t="s">
        <v>6</v>
      </c>
      <c r="T4" t="s">
        <v>26</v>
      </c>
      <c r="U4" t="s">
        <v>7</v>
      </c>
      <c r="V4" t="s">
        <v>8</v>
      </c>
      <c r="W4" t="s">
        <v>9</v>
      </c>
      <c r="X4" t="s">
        <v>16</v>
      </c>
      <c r="Y4" t="s">
        <v>21</v>
      </c>
    </row>
    <row r="5" spans="1:25" ht="15.6" x14ac:dyDescent="0.3">
      <c r="A5" s="9"/>
      <c r="B5" s="10"/>
      <c r="C5">
        <f>width</f>
        <v>0</v>
      </c>
      <c r="D5">
        <v>0.1</v>
      </c>
      <c r="E5">
        <f>v_max</f>
        <v>2871</v>
      </c>
      <c r="F5">
        <f>opacity_gamma</f>
        <v>1.49</v>
      </c>
      <c r="G5">
        <f>viscosity</f>
        <v>0.51</v>
      </c>
      <c r="H5">
        <f>min_width</f>
        <v>2</v>
      </c>
      <c r="I5">
        <f>max_width</f>
        <v>30</v>
      </c>
      <c r="J5">
        <f>z_min</f>
        <v>4</v>
      </c>
      <c r="K5">
        <f>z_max</f>
        <v>83</v>
      </c>
      <c r="L5">
        <f>feedrate_z_exponent</f>
        <v>0.26</v>
      </c>
      <c r="M5">
        <f>feedrate_floor</f>
        <v>20</v>
      </c>
      <c r="N5">
        <f>spray_cone_angle</f>
        <v>15</v>
      </c>
      <c r="O5" s="1">
        <f>MIN(MAX(Table1[[#This Row],[width_mm]],Table1[[#This Row],[min_width]]),Table1[[#This Row],[max_width]])</f>
        <v>2</v>
      </c>
      <c r="P5" s="1">
        <f>TAN(RADIANS(Table1[[#This Row],[spray_cone_angle ]]/2))</f>
        <v>0.13165249758739583</v>
      </c>
      <c r="Q5" s="1">
        <f>Table1[[#This Row],[width_eff]]/(2 * Table1[[#This Row],[cone]])</f>
        <v>7.5957541127251513</v>
      </c>
      <c r="R5" s="12">
        <f>MIN(MAX(Table1[[#This Row],[z_raw]],Table1[[#This Row],[z_min]]),Table1[[#This Row],[z_max]])</f>
        <v>7.5957541127251513</v>
      </c>
      <c r="S5" s="1">
        <f>(1-Table1[[#This Row],[opacity]])^Table1[[#This Row],[opacity_gamma ]]</f>
        <v>0.85471502616834227</v>
      </c>
      <c r="T5" s="1">
        <f>opacity_speed_min + (1-Table1[[#This Row],[opacity]])^opacity_gamma*(1-opacity_speed_min)</f>
        <v>0.96222590680376896</v>
      </c>
      <c r="U5" s="1">
        <f>(Table1[[#This Row],[z_min]]/Table1[[#This Row],[z]])^Table1[[#This Row],[feedrate_z_exponent ]]</f>
        <v>0.84642243167573095</v>
      </c>
      <c r="V5" s="1">
        <f>MAX(0,MIN(1,1-Table1[[#This Row],[viscosity]]))</f>
        <v>0.49</v>
      </c>
      <c r="W5" s="1">
        <f>MAX(0,MIN(1,Table1[[#This Row],[s_opacity]]*Table1[[#This Row],[z_factor]]))*Table1[[#This Row],[visc_factor]]</f>
        <v>0.39908030001053341</v>
      </c>
      <c r="X5" s="2">
        <f>MAX(Table1[[#This Row],[feedrate_floor ]],Table1[[#This Row],[v_max]]*Table1[[#This Row],[speed_factor]])</f>
        <v>1145.7595413302415</v>
      </c>
      <c r="Y5" s="4">
        <f>Table1[[#This Row],[feedrate]]/1524</f>
        <v>0.75181072265763882</v>
      </c>
    </row>
    <row r="6" spans="1:25" ht="15.6" x14ac:dyDescent="0.3">
      <c r="C6">
        <f>width</f>
        <v>0</v>
      </c>
      <c r="D6">
        <v>0.05</v>
      </c>
      <c r="E6">
        <f>v_max</f>
        <v>2871</v>
      </c>
      <c r="F6">
        <f>opacity_gamma</f>
        <v>1.49</v>
      </c>
      <c r="G6">
        <f>viscosity</f>
        <v>0.51</v>
      </c>
      <c r="H6">
        <f>min_width</f>
        <v>2</v>
      </c>
      <c r="I6">
        <f>max_width</f>
        <v>30</v>
      </c>
      <c r="J6">
        <f>z_min</f>
        <v>4</v>
      </c>
      <c r="K6">
        <f>z_max</f>
        <v>83</v>
      </c>
      <c r="L6">
        <f>feedrate_z_exponent</f>
        <v>0.26</v>
      </c>
      <c r="M6">
        <f>feedrate_floor</f>
        <v>20</v>
      </c>
      <c r="N6">
        <f>spray_cone_angle</f>
        <v>15</v>
      </c>
      <c r="O6" s="1">
        <f>MIN(MAX(Table1[[#This Row],[width_mm]],Table1[[#This Row],[min_width]]),Table1[[#This Row],[max_width]])</f>
        <v>2</v>
      </c>
      <c r="P6" s="1">
        <f>TAN(RADIANS(Table1[[#This Row],[spray_cone_angle ]]/2))</f>
        <v>0.13165249758739583</v>
      </c>
      <c r="Q6" s="1">
        <f>Table1[[#This Row],[width_eff]]/(2 * Table1[[#This Row],[cone]])</f>
        <v>7.5957541127251513</v>
      </c>
      <c r="R6" s="12">
        <f>MIN(MAX(Table1[[#This Row],[z_raw]],Table1[[#This Row],[z_min]]),Table1[[#This Row],[z_max]])</f>
        <v>7.5957541127251513</v>
      </c>
      <c r="S6" s="1">
        <f>(1-Table1[[#This Row],[opacity]])^Table1[[#This Row],[opacity_gamma ]]</f>
        <v>0.92642053251798118</v>
      </c>
      <c r="T6" s="1">
        <f>opacity_speed_min + (1-Table1[[#This Row],[opacity]])^opacity_gamma*(1-opacity_speed_min)</f>
        <v>0.98086933845467517</v>
      </c>
      <c r="U6" s="1">
        <f>(Table1[[#This Row],[z_min]]/Table1[[#This Row],[z]])^Table1[[#This Row],[feedrate_z_exponent ]]</f>
        <v>0.84642243167573095</v>
      </c>
      <c r="V6" s="1">
        <f>MAX(0,MIN(1,1-Table1[[#This Row],[viscosity]]))</f>
        <v>0.49</v>
      </c>
      <c r="W6" s="1">
        <f>MAX(0,MIN(1,Table1[[#This Row],[s_opacity]]*Table1[[#This Row],[z_factor]]))*Table1[[#This Row],[visc_factor]]</f>
        <v>0.40681260719937612</v>
      </c>
      <c r="X6" s="2">
        <f>MAX(Table1[[#This Row],[feedrate_floor ]],Table1[[#This Row],[v_max]]*Table1[[#This Row],[speed_factor]])</f>
        <v>1167.9589952694089</v>
      </c>
      <c r="Y6" s="4">
        <f>Table1[[#This Row],[feedrate]]/1524</f>
        <v>0.76637729348386407</v>
      </c>
    </row>
    <row r="7" spans="1:25" ht="15.6" x14ac:dyDescent="0.3">
      <c r="A7" s="3" t="s">
        <v>10</v>
      </c>
      <c r="B7" s="10">
        <f>B8/100</f>
        <v>1.49</v>
      </c>
      <c r="C7">
        <f>width</f>
        <v>0</v>
      </c>
      <c r="D7">
        <v>0.1</v>
      </c>
      <c r="E7">
        <f>v_max</f>
        <v>2871</v>
      </c>
      <c r="F7">
        <f>opacity_gamma</f>
        <v>1.49</v>
      </c>
      <c r="G7">
        <f>viscosity</f>
        <v>0.51</v>
      </c>
      <c r="H7">
        <f>min_width</f>
        <v>2</v>
      </c>
      <c r="I7">
        <f>max_width</f>
        <v>30</v>
      </c>
      <c r="J7">
        <f>z_min</f>
        <v>4</v>
      </c>
      <c r="K7">
        <f>z_max</f>
        <v>83</v>
      </c>
      <c r="L7">
        <f>feedrate_z_exponent</f>
        <v>0.26</v>
      </c>
      <c r="M7">
        <f>feedrate_floor</f>
        <v>20</v>
      </c>
      <c r="N7">
        <f>spray_cone_angle</f>
        <v>15</v>
      </c>
      <c r="O7" s="1">
        <f>MIN(MAX(Table1[[#This Row],[width_mm]],Table1[[#This Row],[min_width]]),Table1[[#This Row],[max_width]])</f>
        <v>2</v>
      </c>
      <c r="P7" s="1">
        <f>TAN(RADIANS(Table1[[#This Row],[spray_cone_angle ]]/2))</f>
        <v>0.13165249758739583</v>
      </c>
      <c r="Q7" s="1">
        <f>Table1[[#This Row],[width_eff]]/(2 * Table1[[#This Row],[cone]])</f>
        <v>7.5957541127251513</v>
      </c>
      <c r="R7" s="12">
        <f>MIN(MAX(Table1[[#This Row],[z_raw]],Table1[[#This Row],[z_min]]),Table1[[#This Row],[z_max]])</f>
        <v>7.5957541127251513</v>
      </c>
      <c r="S7" s="1">
        <f>(1-Table1[[#This Row],[opacity]])^Table1[[#This Row],[opacity_gamma ]]</f>
        <v>0.85471502616834227</v>
      </c>
      <c r="T7" s="1">
        <f>opacity_speed_min + (1-Table1[[#This Row],[opacity]])^opacity_gamma*(1-opacity_speed_min)</f>
        <v>0.96222590680376896</v>
      </c>
      <c r="U7" s="1">
        <f>(Table1[[#This Row],[z_min]]/Table1[[#This Row],[z]])^Table1[[#This Row],[feedrate_z_exponent ]]</f>
        <v>0.84642243167573095</v>
      </c>
      <c r="V7" s="1">
        <f>MAX(0,MIN(1,1-Table1[[#This Row],[viscosity]]))</f>
        <v>0.49</v>
      </c>
      <c r="W7" s="1">
        <f>MAX(0,MIN(1,Table1[[#This Row],[s_opacity]]*Table1[[#This Row],[z_factor]]))*Table1[[#This Row],[visc_factor]]</f>
        <v>0.39908030001053341</v>
      </c>
      <c r="X7" s="2">
        <f>MAX(Table1[[#This Row],[feedrate_floor ]],Table1[[#This Row],[v_max]]*Table1[[#This Row],[speed_factor]])</f>
        <v>1145.7595413302415</v>
      </c>
      <c r="Y7" s="4">
        <f>Table1[[#This Row],[feedrate]]/1524</f>
        <v>0.75181072265763882</v>
      </c>
    </row>
    <row r="8" spans="1:25" ht="15.6" x14ac:dyDescent="0.3">
      <c r="A8" s="9"/>
      <c r="B8" s="10">
        <v>149</v>
      </c>
      <c r="C8">
        <f>width</f>
        <v>0</v>
      </c>
      <c r="D8">
        <v>0.15</v>
      </c>
      <c r="E8">
        <f>v_max</f>
        <v>2871</v>
      </c>
      <c r="F8">
        <f>opacity_gamma</f>
        <v>1.49</v>
      </c>
      <c r="G8">
        <f>viscosity</f>
        <v>0.51</v>
      </c>
      <c r="H8">
        <f>min_width</f>
        <v>2</v>
      </c>
      <c r="I8">
        <f>max_width</f>
        <v>30</v>
      </c>
      <c r="J8">
        <f>z_min</f>
        <v>4</v>
      </c>
      <c r="K8">
        <f>z_max</f>
        <v>83</v>
      </c>
      <c r="L8">
        <f>feedrate_z_exponent</f>
        <v>0.26</v>
      </c>
      <c r="M8">
        <f>feedrate_floor</f>
        <v>20</v>
      </c>
      <c r="N8">
        <f>spray_cone_angle</f>
        <v>15</v>
      </c>
      <c r="O8" s="1">
        <f>MIN(MAX(Table1[[#This Row],[width_mm]],Table1[[#This Row],[min_width]]),Table1[[#This Row],[max_width]])</f>
        <v>2</v>
      </c>
      <c r="P8" s="1">
        <f>TAN(RADIANS(Table1[[#This Row],[spray_cone_angle ]]/2))</f>
        <v>0.13165249758739583</v>
      </c>
      <c r="Q8" s="1">
        <f>Table1[[#This Row],[width_eff]]/(2 * Table1[[#This Row],[cone]])</f>
        <v>7.5957541127251513</v>
      </c>
      <c r="R8" s="12">
        <f>MIN(MAX(Table1[[#This Row],[z_raw]],Table1[[#This Row],[z_min]]),Table1[[#This Row],[z_max]])</f>
        <v>7.5957541127251513</v>
      </c>
      <c r="S8" s="1">
        <f>(1-Table1[[#This Row],[opacity]])^Table1[[#This Row],[opacity_gamma ]]</f>
        <v>0.7849359122709314</v>
      </c>
      <c r="T8" s="1">
        <f>opacity_speed_min + (1-Table1[[#This Row],[opacity]])^opacity_gamma*(1-opacity_speed_min)</f>
        <v>0.94408333719044213</v>
      </c>
      <c r="U8" s="1">
        <f>(Table1[[#This Row],[z_min]]/Table1[[#This Row],[z]])^Table1[[#This Row],[feedrate_z_exponent ]]</f>
        <v>0.84642243167573095</v>
      </c>
      <c r="V8" s="1">
        <f>MAX(0,MIN(1,1-Table1[[#This Row],[viscosity]]))</f>
        <v>0.49</v>
      </c>
      <c r="W8" s="1">
        <f>MAX(0,MIN(1,Table1[[#This Row],[s_opacity]]*Table1[[#This Row],[z_factor]]))*Table1[[#This Row],[visc_factor]]</f>
        <v>0.3915557238449438</v>
      </c>
      <c r="X8" s="2">
        <f>MAX(Table1[[#This Row],[feedrate_floor ]],Table1[[#This Row],[v_max]]*Table1[[#This Row],[speed_factor]])</f>
        <v>1124.1564831588337</v>
      </c>
      <c r="Y8" s="4">
        <f>Table1[[#This Row],[feedrate]]/1524</f>
        <v>0.73763548763703002</v>
      </c>
    </row>
    <row r="9" spans="1:25" ht="15.6" x14ac:dyDescent="0.3">
      <c r="C9">
        <f>width</f>
        <v>0</v>
      </c>
      <c r="D9">
        <v>0.2</v>
      </c>
      <c r="E9">
        <f>v_max</f>
        <v>2871</v>
      </c>
      <c r="F9">
        <f>opacity_gamma</f>
        <v>1.49</v>
      </c>
      <c r="G9">
        <f>viscosity</f>
        <v>0.51</v>
      </c>
      <c r="H9">
        <f>min_width</f>
        <v>2</v>
      </c>
      <c r="I9">
        <f>max_width</f>
        <v>30</v>
      </c>
      <c r="J9">
        <f>z_min</f>
        <v>4</v>
      </c>
      <c r="K9">
        <f>z_max</f>
        <v>83</v>
      </c>
      <c r="L9">
        <f>feedrate_z_exponent</f>
        <v>0.26</v>
      </c>
      <c r="M9">
        <f>feedrate_floor</f>
        <v>20</v>
      </c>
      <c r="N9">
        <f>spray_cone_angle</f>
        <v>15</v>
      </c>
      <c r="O9" s="1">
        <f>MIN(MAX(Table1[[#This Row],[width_mm]],Table1[[#This Row],[min_width]]),Table1[[#This Row],[max_width]])</f>
        <v>2</v>
      </c>
      <c r="P9" s="1">
        <f>TAN(RADIANS(Table1[[#This Row],[spray_cone_angle ]]/2))</f>
        <v>0.13165249758739583</v>
      </c>
      <c r="Q9" s="1">
        <f>Table1[[#This Row],[width_eff]]/(2 * Table1[[#This Row],[cone]])</f>
        <v>7.5957541127251513</v>
      </c>
      <c r="R9" s="12">
        <f>MIN(MAX(Table1[[#This Row],[z_raw]],Table1[[#This Row],[z_min]]),Table1[[#This Row],[z_max]])</f>
        <v>7.5957541127251513</v>
      </c>
      <c r="S9" s="1">
        <f>(1-Table1[[#This Row],[opacity]])^Table1[[#This Row],[opacity_gamma ]]</f>
        <v>0.71714022085418638</v>
      </c>
      <c r="T9" s="1">
        <f>opacity_speed_min + (1-Table1[[#This Row],[opacity]])^opacity_gamma*(1-opacity_speed_min)</f>
        <v>0.92645645742208849</v>
      </c>
      <c r="U9" s="1">
        <f>(Table1[[#This Row],[z_min]]/Table1[[#This Row],[z]])^Table1[[#This Row],[feedrate_z_exponent ]]</f>
        <v>0.84642243167573095</v>
      </c>
      <c r="V9" s="1">
        <f>MAX(0,MIN(1,1-Table1[[#This Row],[viscosity]]))</f>
        <v>0.49</v>
      </c>
      <c r="W9" s="1">
        <f>MAX(0,MIN(1,Table1[[#This Row],[s_opacity]]*Table1[[#This Row],[z_factor]]))*Table1[[#This Row],[visc_factor]]</f>
        <v>0.3842450284911148</v>
      </c>
      <c r="X9" s="2">
        <f>MAX(Table1[[#This Row],[feedrate_floor ]],Table1[[#This Row],[v_max]]*Table1[[#This Row],[speed_factor]])</f>
        <v>1103.1674767979905</v>
      </c>
      <c r="Y9" s="4">
        <f>Table1[[#This Row],[feedrate]]/1524</f>
        <v>0.7238631737519623</v>
      </c>
    </row>
    <row r="10" spans="1:25" ht="15.6" x14ac:dyDescent="0.3">
      <c r="A10" s="3" t="s">
        <v>4</v>
      </c>
      <c r="B10" s="10">
        <f>B11/100</f>
        <v>0.51</v>
      </c>
      <c r="C10">
        <f>width</f>
        <v>0</v>
      </c>
      <c r="D10">
        <v>0.25</v>
      </c>
      <c r="E10">
        <f>v_max</f>
        <v>2871</v>
      </c>
      <c r="F10">
        <f>opacity_gamma</f>
        <v>1.49</v>
      </c>
      <c r="G10">
        <f>viscosity</f>
        <v>0.51</v>
      </c>
      <c r="H10">
        <f>min_width</f>
        <v>2</v>
      </c>
      <c r="I10">
        <f>max_width</f>
        <v>30</v>
      </c>
      <c r="J10">
        <f>z_min</f>
        <v>4</v>
      </c>
      <c r="K10">
        <f>z_max</f>
        <v>83</v>
      </c>
      <c r="L10">
        <f>feedrate_z_exponent</f>
        <v>0.26</v>
      </c>
      <c r="M10">
        <f>feedrate_floor</f>
        <v>20</v>
      </c>
      <c r="N10">
        <f>spray_cone_angle</f>
        <v>15</v>
      </c>
      <c r="O10" s="1">
        <f>MIN(MAX(Table1[[#This Row],[width_mm]],Table1[[#This Row],[min_width]]),Table1[[#This Row],[max_width]])</f>
        <v>2</v>
      </c>
      <c r="P10" s="1">
        <f>TAN(RADIANS(Table1[[#This Row],[spray_cone_angle ]]/2))</f>
        <v>0.13165249758739583</v>
      </c>
      <c r="Q10" s="1">
        <f>Table1[[#This Row],[width_eff]]/(2 * Table1[[#This Row],[cone]])</f>
        <v>7.5957541127251513</v>
      </c>
      <c r="R10" s="12">
        <f>MIN(MAX(Table1[[#This Row],[z_raw]],Table1[[#This Row],[z_min]]),Table1[[#This Row],[z_max]])</f>
        <v>7.5957541127251513</v>
      </c>
      <c r="S10" s="1">
        <f>(1-Table1[[#This Row],[opacity]])^Table1[[#This Row],[opacity_gamma ]]</f>
        <v>0.6513902930312403</v>
      </c>
      <c r="T10" s="1">
        <f>opacity_speed_min + (1-Table1[[#This Row],[opacity]])^opacity_gamma*(1-opacity_speed_min)</f>
        <v>0.90936147618812246</v>
      </c>
      <c r="U10" s="1">
        <f>(Table1[[#This Row],[z_min]]/Table1[[#This Row],[z]])^Table1[[#This Row],[feedrate_z_exponent ]]</f>
        <v>0.84642243167573095</v>
      </c>
      <c r="V10" s="1">
        <f>MAX(0,MIN(1,1-Table1[[#This Row],[viscosity]]))</f>
        <v>0.49</v>
      </c>
      <c r="W10" s="1">
        <f>MAX(0,MIN(1,Table1[[#This Row],[s_opacity]]*Table1[[#This Row],[z_factor]]))*Table1[[#This Row],[visc_factor]]</f>
        <v>0.37715493645421766</v>
      </c>
      <c r="X10" s="2">
        <f>MAX(Table1[[#This Row],[feedrate_floor ]],Table1[[#This Row],[v_max]]*Table1[[#This Row],[speed_factor]])</f>
        <v>1082.811822560059</v>
      </c>
      <c r="Y10" s="4">
        <f>Table1[[#This Row],[feedrate]]/1524</f>
        <v>0.71050644524938256</v>
      </c>
    </row>
    <row r="11" spans="1:25" ht="15.6" x14ac:dyDescent="0.3">
      <c r="A11" s="9"/>
      <c r="B11" s="10">
        <v>51</v>
      </c>
      <c r="C11">
        <f>width</f>
        <v>0</v>
      </c>
      <c r="D11">
        <v>0.3</v>
      </c>
      <c r="E11">
        <f>v_max</f>
        <v>2871</v>
      </c>
      <c r="F11">
        <f>opacity_gamma</f>
        <v>1.49</v>
      </c>
      <c r="G11">
        <f>viscosity</f>
        <v>0.51</v>
      </c>
      <c r="H11">
        <f>min_width</f>
        <v>2</v>
      </c>
      <c r="I11">
        <f>max_width</f>
        <v>30</v>
      </c>
      <c r="J11">
        <f>z_min</f>
        <v>4</v>
      </c>
      <c r="K11">
        <f>z_max</f>
        <v>83</v>
      </c>
      <c r="L11">
        <f>feedrate_z_exponent</f>
        <v>0.26</v>
      </c>
      <c r="M11">
        <f>feedrate_floor</f>
        <v>20</v>
      </c>
      <c r="N11">
        <f>spray_cone_angle</f>
        <v>15</v>
      </c>
      <c r="O11" s="1">
        <f>MIN(MAX(Table1[[#This Row],[width_mm]],Table1[[#This Row],[min_width]]),Table1[[#This Row],[max_width]])</f>
        <v>2</v>
      </c>
      <c r="P11" s="1">
        <f>TAN(RADIANS(Table1[[#This Row],[spray_cone_angle ]]/2))</f>
        <v>0.13165249758739583</v>
      </c>
      <c r="Q11" s="1">
        <f>Table1[[#This Row],[width_eff]]/(2 * Table1[[#This Row],[cone]])</f>
        <v>7.5957541127251513</v>
      </c>
      <c r="R11" s="12">
        <f>MIN(MAX(Table1[[#This Row],[z_raw]],Table1[[#This Row],[z_min]]),Table1[[#This Row],[z_max]])</f>
        <v>7.5957541127251513</v>
      </c>
      <c r="S11" s="1">
        <f>(1-Table1[[#This Row],[opacity]])^Table1[[#This Row],[opacity_gamma ]]</f>
        <v>0.58775465799201332</v>
      </c>
      <c r="T11" s="1">
        <f>opacity_speed_min + (1-Table1[[#This Row],[opacity]])^opacity_gamma*(1-opacity_speed_min)</f>
        <v>0.89281621107792342</v>
      </c>
      <c r="U11" s="1">
        <f>(Table1[[#This Row],[z_min]]/Table1[[#This Row],[z]])^Table1[[#This Row],[feedrate_z_exponent ]]</f>
        <v>0.84642243167573095</v>
      </c>
      <c r="V11" s="1">
        <f>MAX(0,MIN(1,1-Table1[[#This Row],[viscosity]]))</f>
        <v>0.49</v>
      </c>
      <c r="W11" s="1">
        <f>MAX(0,MIN(1,Table1[[#This Row],[s_opacity]]*Table1[[#This Row],[z_factor]]))*Table1[[#This Row],[visc_factor]]</f>
        <v>0.37029283752584341</v>
      </c>
      <c r="X11" s="2">
        <f>MAX(Table1[[#This Row],[feedrate_floor ]],Table1[[#This Row],[v_max]]*Table1[[#This Row],[speed_factor]])</f>
        <v>1063.1107365366963</v>
      </c>
      <c r="Y11" s="4">
        <f>Table1[[#This Row],[feedrate]]/1524</f>
        <v>0.69757922344927581</v>
      </c>
    </row>
    <row r="12" spans="1:25" ht="15.6" x14ac:dyDescent="0.3">
      <c r="C12">
        <f>width</f>
        <v>0</v>
      </c>
      <c r="D12">
        <v>0.35</v>
      </c>
      <c r="E12">
        <f>v_max</f>
        <v>2871</v>
      </c>
      <c r="F12">
        <f>opacity_gamma</f>
        <v>1.49</v>
      </c>
      <c r="G12">
        <f>viscosity</f>
        <v>0.51</v>
      </c>
      <c r="H12">
        <f>min_width</f>
        <v>2</v>
      </c>
      <c r="I12">
        <f>max_width</f>
        <v>30</v>
      </c>
      <c r="J12">
        <f>z_min</f>
        <v>4</v>
      </c>
      <c r="K12">
        <f>z_max</f>
        <v>83</v>
      </c>
      <c r="L12">
        <f>feedrate_z_exponent</f>
        <v>0.26</v>
      </c>
      <c r="M12">
        <f>feedrate_floor</f>
        <v>20</v>
      </c>
      <c r="N12">
        <f>spray_cone_angle</f>
        <v>15</v>
      </c>
      <c r="O12" s="1">
        <f>MIN(MAX(Table1[[#This Row],[width_mm]],Table1[[#This Row],[min_width]]),Table1[[#This Row],[max_width]])</f>
        <v>2</v>
      </c>
      <c r="P12" s="1">
        <f>TAN(RADIANS(Table1[[#This Row],[spray_cone_angle ]]/2))</f>
        <v>0.13165249758739583</v>
      </c>
      <c r="Q12" s="1">
        <f>Table1[[#This Row],[width_eff]]/(2 * Table1[[#This Row],[cone]])</f>
        <v>7.5957541127251513</v>
      </c>
      <c r="R12" s="12">
        <f>MIN(MAX(Table1[[#This Row],[z_raw]],Table1[[#This Row],[z_min]]),Table1[[#This Row],[z_max]])</f>
        <v>7.5957541127251513</v>
      </c>
      <c r="S12" s="1">
        <f>(1-Table1[[#This Row],[opacity]])^Table1[[#This Row],[opacity_gamma ]]</f>
        <v>0.52630912698671595</v>
      </c>
      <c r="T12" s="1">
        <f>opacity_speed_min + (1-Table1[[#This Row],[opacity]])^opacity_gamma*(1-opacity_speed_min)</f>
        <v>0.87684037301654616</v>
      </c>
      <c r="U12" s="1">
        <f>(Table1[[#This Row],[z_min]]/Table1[[#This Row],[z]])^Table1[[#This Row],[feedrate_z_exponent ]]</f>
        <v>0.84642243167573095</v>
      </c>
      <c r="V12" s="1">
        <f>MAX(0,MIN(1,1-Table1[[#This Row],[viscosity]]))</f>
        <v>0.49</v>
      </c>
      <c r="W12" s="1">
        <f>MAX(0,MIN(1,Table1[[#This Row],[s_opacity]]*Table1[[#This Row],[z_factor]]))*Table1[[#This Row],[visc_factor]]</f>
        <v>0.36366690675285879</v>
      </c>
      <c r="X12" s="2">
        <f>MAX(Table1[[#This Row],[feedrate_floor ]],Table1[[#This Row],[v_max]]*Table1[[#This Row],[speed_factor]])</f>
        <v>1044.0876892874576</v>
      </c>
      <c r="Y12" s="4">
        <f>Table1[[#This Row],[feedrate]]/1524</f>
        <v>0.6850969089812714</v>
      </c>
    </row>
    <row r="13" spans="1:25" ht="15.6" x14ac:dyDescent="0.3">
      <c r="A13" s="3" t="s">
        <v>11</v>
      </c>
      <c r="B13" s="10">
        <v>2</v>
      </c>
      <c r="C13">
        <f>width</f>
        <v>0</v>
      </c>
      <c r="D13">
        <v>0.4</v>
      </c>
      <c r="E13">
        <f>v_max</f>
        <v>2871</v>
      </c>
      <c r="F13">
        <f>opacity_gamma</f>
        <v>1.49</v>
      </c>
      <c r="G13">
        <f>viscosity</f>
        <v>0.51</v>
      </c>
      <c r="H13">
        <f>min_width</f>
        <v>2</v>
      </c>
      <c r="I13">
        <f>max_width</f>
        <v>30</v>
      </c>
      <c r="J13">
        <f>z_min</f>
        <v>4</v>
      </c>
      <c r="K13">
        <f>z_max</f>
        <v>83</v>
      </c>
      <c r="L13">
        <f>feedrate_z_exponent</f>
        <v>0.26</v>
      </c>
      <c r="M13">
        <f>feedrate_floor</f>
        <v>20</v>
      </c>
      <c r="N13">
        <f>spray_cone_angle</f>
        <v>15</v>
      </c>
      <c r="O13" s="1">
        <f>MIN(MAX(Table1[[#This Row],[width_mm]],Table1[[#This Row],[min_width]]),Table1[[#This Row],[max_width]])</f>
        <v>2</v>
      </c>
      <c r="P13" s="1">
        <f>TAN(RADIANS(Table1[[#This Row],[spray_cone_angle ]]/2))</f>
        <v>0.13165249758739583</v>
      </c>
      <c r="Q13" s="1">
        <f>Table1[[#This Row],[width_eff]]/(2 * Table1[[#This Row],[cone]])</f>
        <v>7.5957541127251513</v>
      </c>
      <c r="R13" s="12">
        <f>MIN(MAX(Table1[[#This Row],[z_raw]],Table1[[#This Row],[z_min]]),Table1[[#This Row],[z_max]])</f>
        <v>7.5957541127251513</v>
      </c>
      <c r="S13" s="1">
        <f>(1-Table1[[#This Row],[opacity]])^Table1[[#This Row],[opacity_gamma ]]</f>
        <v>0.46713817860669671</v>
      </c>
      <c r="T13" s="1">
        <f>opacity_speed_min + (1-Table1[[#This Row],[opacity]])^opacity_gamma*(1-opacity_speed_min)</f>
        <v>0.86145592643774116</v>
      </c>
      <c r="U13" s="1">
        <f>(Table1[[#This Row],[z_min]]/Table1[[#This Row],[z]])^Table1[[#This Row],[feedrate_z_exponent ]]</f>
        <v>0.84642243167573095</v>
      </c>
      <c r="V13" s="1">
        <f>MAX(0,MIN(1,1-Table1[[#This Row],[viscosity]]))</f>
        <v>0.49</v>
      </c>
      <c r="W13" s="1">
        <f>MAX(0,MIN(1,Table1[[#This Row],[s_opacity]]*Table1[[#This Row],[z_factor]]))*Table1[[#This Row],[visc_factor]]</f>
        <v>0.35728625381808221</v>
      </c>
      <c r="X13" s="2">
        <f>MAX(Table1[[#This Row],[feedrate_floor ]],Table1[[#This Row],[v_max]]*Table1[[#This Row],[speed_factor]])</f>
        <v>1025.7688347117141</v>
      </c>
      <c r="Y13" s="4">
        <f>Table1[[#This Row],[feedrate]]/1524</f>
        <v>0.67307666319666282</v>
      </c>
    </row>
    <row r="14" spans="1:25" ht="15.6" x14ac:dyDescent="0.3">
      <c r="A14" s="9"/>
      <c r="B14" s="10"/>
      <c r="C14">
        <f>width</f>
        <v>0</v>
      </c>
      <c r="D14">
        <v>0.45</v>
      </c>
      <c r="E14">
        <f>v_max</f>
        <v>2871</v>
      </c>
      <c r="F14">
        <f>opacity_gamma</f>
        <v>1.49</v>
      </c>
      <c r="G14">
        <f>viscosity</f>
        <v>0.51</v>
      </c>
      <c r="H14">
        <f>min_width</f>
        <v>2</v>
      </c>
      <c r="I14">
        <f>max_width</f>
        <v>30</v>
      </c>
      <c r="J14">
        <f>z_min</f>
        <v>4</v>
      </c>
      <c r="K14">
        <f>z_max</f>
        <v>83</v>
      </c>
      <c r="L14">
        <f>feedrate_z_exponent</f>
        <v>0.26</v>
      </c>
      <c r="M14">
        <f>feedrate_floor</f>
        <v>20</v>
      </c>
      <c r="N14">
        <f>spray_cone_angle</f>
        <v>15</v>
      </c>
      <c r="O14" s="1">
        <f>MIN(MAX(Table1[[#This Row],[width_mm]],Table1[[#This Row],[min_width]]),Table1[[#This Row],[max_width]])</f>
        <v>2</v>
      </c>
      <c r="P14" s="1">
        <f>TAN(RADIANS(Table1[[#This Row],[spray_cone_angle ]]/2))</f>
        <v>0.13165249758739583</v>
      </c>
      <c r="Q14" s="1">
        <f>Table1[[#This Row],[width_eff]]/(2 * Table1[[#This Row],[cone]])</f>
        <v>7.5957541127251513</v>
      </c>
      <c r="R14" s="12">
        <f>MIN(MAX(Table1[[#This Row],[z_raw]],Table1[[#This Row],[z_min]]),Table1[[#This Row],[z_max]])</f>
        <v>7.5957541127251513</v>
      </c>
      <c r="S14" s="1">
        <f>(1-Table1[[#This Row],[opacity]])^Table1[[#This Row],[opacity_gamma ]]</f>
        <v>0.41033674335698256</v>
      </c>
      <c r="T14" s="1">
        <f>opacity_speed_min + (1-Table1[[#This Row],[opacity]])^opacity_gamma*(1-opacity_speed_min)</f>
        <v>0.84668755327281542</v>
      </c>
      <c r="U14" s="1">
        <f>(Table1[[#This Row],[z_min]]/Table1[[#This Row],[z]])^Table1[[#This Row],[feedrate_z_exponent ]]</f>
        <v>0.84642243167573095</v>
      </c>
      <c r="V14" s="1">
        <f>MAX(0,MIN(1,1-Table1[[#This Row],[viscosity]]))</f>
        <v>0.49</v>
      </c>
      <c r="W14" s="1">
        <f>MAX(0,MIN(1,Table1[[#This Row],[s_opacity]]*Table1[[#This Row],[z_factor]]))*Table1[[#This Row],[visc_factor]]</f>
        <v>0.35116111547826817</v>
      </c>
      <c r="X14" s="2">
        <f>MAX(Table1[[#This Row],[feedrate_floor ]],Table1[[#This Row],[v_max]]*Table1[[#This Row],[speed_factor]])</f>
        <v>1008.1835625381079</v>
      </c>
      <c r="Y14" s="4">
        <f>Table1[[#This Row],[feedrate]]/1524</f>
        <v>0.66153777069429653</v>
      </c>
    </row>
    <row r="15" spans="1:25" ht="15.6" x14ac:dyDescent="0.3">
      <c r="A15" s="3" t="s">
        <v>12</v>
      </c>
      <c r="B15" s="10">
        <v>30</v>
      </c>
      <c r="C15">
        <f>width</f>
        <v>0</v>
      </c>
      <c r="D15">
        <v>0.5</v>
      </c>
      <c r="E15">
        <f>v_max</f>
        <v>2871</v>
      </c>
      <c r="F15">
        <f>opacity_gamma</f>
        <v>1.49</v>
      </c>
      <c r="G15">
        <f>viscosity</f>
        <v>0.51</v>
      </c>
      <c r="H15">
        <f>min_width</f>
        <v>2</v>
      </c>
      <c r="I15">
        <f>max_width</f>
        <v>30</v>
      </c>
      <c r="J15">
        <f>z_min</f>
        <v>4</v>
      </c>
      <c r="K15">
        <f>z_max</f>
        <v>83</v>
      </c>
      <c r="L15">
        <f>feedrate_z_exponent</f>
        <v>0.26</v>
      </c>
      <c r="M15">
        <f>feedrate_floor</f>
        <v>20</v>
      </c>
      <c r="N15">
        <f>spray_cone_angle</f>
        <v>15</v>
      </c>
      <c r="O15" s="1">
        <f>MIN(MAX(Table1[[#This Row],[width_mm]],Table1[[#This Row],[min_width]]),Table1[[#This Row],[max_width]])</f>
        <v>2</v>
      </c>
      <c r="P15" s="1">
        <f>TAN(RADIANS(Table1[[#This Row],[spray_cone_angle ]]/2))</f>
        <v>0.13165249758739583</v>
      </c>
      <c r="Q15" s="1">
        <f>Table1[[#This Row],[width_eff]]/(2 * Table1[[#This Row],[cone]])</f>
        <v>7.5957541127251513</v>
      </c>
      <c r="R15" s="12">
        <f>MIN(MAX(Table1[[#This Row],[z_raw]],Table1[[#This Row],[z_min]]),Table1[[#This Row],[z_max]])</f>
        <v>7.5957541127251513</v>
      </c>
      <c r="S15" s="1">
        <f>(1-Table1[[#This Row],[opacity]])^Table1[[#This Row],[opacity_gamma ]]</f>
        <v>0.35601254889926798</v>
      </c>
      <c r="T15" s="1">
        <f>opacity_speed_min + (1-Table1[[#This Row],[opacity]])^opacity_gamma*(1-opacity_speed_min)</f>
        <v>0.83256326271380965</v>
      </c>
      <c r="U15" s="1">
        <f>(Table1[[#This Row],[z_min]]/Table1[[#This Row],[z]])^Table1[[#This Row],[feedrate_z_exponent ]]</f>
        <v>0.84642243167573095</v>
      </c>
      <c r="V15" s="1">
        <f>MAX(0,MIN(1,1-Table1[[#This Row],[viscosity]]))</f>
        <v>0.49</v>
      </c>
      <c r="W15" s="1">
        <f>MAX(0,MIN(1,Table1[[#This Row],[s_opacity]]*Table1[[#This Row],[z_factor]]))*Table1[[#This Row],[visc_factor]]</f>
        <v>0.34530310846155055</v>
      </c>
      <c r="X15" s="2">
        <f>MAX(Table1[[#This Row],[feedrate_floor ]],Table1[[#This Row],[v_max]]*Table1[[#This Row],[speed_factor]])</f>
        <v>991.36522439311159</v>
      </c>
      <c r="Y15" s="4">
        <f>Table1[[#This Row],[feedrate]]/1524</f>
        <v>0.65050211574351158</v>
      </c>
    </row>
    <row r="16" spans="1:25" ht="15.6" x14ac:dyDescent="0.3">
      <c r="A16" s="9"/>
      <c r="B16" s="10"/>
      <c r="C16">
        <f>width</f>
        <v>0</v>
      </c>
      <c r="D16">
        <v>0.55000000000000004</v>
      </c>
      <c r="E16">
        <f>v_max</f>
        <v>2871</v>
      </c>
      <c r="F16">
        <f>opacity_gamma</f>
        <v>1.49</v>
      </c>
      <c r="G16">
        <f>viscosity</f>
        <v>0.51</v>
      </c>
      <c r="H16">
        <f>min_width</f>
        <v>2</v>
      </c>
      <c r="I16">
        <f>max_width</f>
        <v>30</v>
      </c>
      <c r="J16">
        <f>z_min</f>
        <v>4</v>
      </c>
      <c r="K16">
        <f>z_max</f>
        <v>83</v>
      </c>
      <c r="L16">
        <f>feedrate_z_exponent</f>
        <v>0.26</v>
      </c>
      <c r="M16">
        <f>feedrate_floor</f>
        <v>20</v>
      </c>
      <c r="N16">
        <f>spray_cone_angle</f>
        <v>15</v>
      </c>
      <c r="O16" s="1">
        <f>MIN(MAX(Table1[[#This Row],[width_mm]],Table1[[#This Row],[min_width]]),Table1[[#This Row],[max_width]])</f>
        <v>2</v>
      </c>
      <c r="P16" s="1">
        <f>TAN(RADIANS(Table1[[#This Row],[spray_cone_angle ]]/2))</f>
        <v>0.13165249758739583</v>
      </c>
      <c r="Q16" s="1">
        <f>Table1[[#This Row],[width_eff]]/(2 * Table1[[#This Row],[cone]])</f>
        <v>7.5957541127251513</v>
      </c>
      <c r="R16" s="12">
        <f>MIN(MAX(Table1[[#This Row],[z_raw]],Table1[[#This Row],[z_min]]),Table1[[#This Row],[z_max]])</f>
        <v>7.5957541127251513</v>
      </c>
      <c r="S16" s="1">
        <f>(1-Table1[[#This Row],[opacity]])^Table1[[#This Row],[opacity_gamma ]]</f>
        <v>0.30428927504869596</v>
      </c>
      <c r="T16" s="1">
        <f>opacity_speed_min + (1-Table1[[#This Row],[opacity]])^opacity_gamma*(1-opacity_speed_min)</f>
        <v>0.81911521151266098</v>
      </c>
      <c r="U16" s="1">
        <f>(Table1[[#This Row],[z_min]]/Table1[[#This Row],[z]])^Table1[[#This Row],[feedrate_z_exponent ]]</f>
        <v>0.84642243167573095</v>
      </c>
      <c r="V16" s="1">
        <f>MAX(0,MIN(1,1-Table1[[#This Row],[viscosity]]))</f>
        <v>0.49</v>
      </c>
      <c r="W16" s="1">
        <f>MAX(0,MIN(1,Table1[[#This Row],[s_opacity]]*Table1[[#This Row],[z_factor]]))*Table1[[#This Row],[visc_factor]]</f>
        <v>0.33972556968405232</v>
      </c>
      <c r="X16" s="2">
        <f>MAX(Table1[[#This Row],[feedrate_floor ]],Table1[[#This Row],[v_max]]*Table1[[#This Row],[speed_factor]])</f>
        <v>975.35211056291416</v>
      </c>
      <c r="Y16" s="4">
        <f>Table1[[#This Row],[feedrate]]/1524</f>
        <v>0.63999482320401191</v>
      </c>
    </row>
    <row r="17" spans="1:25" ht="15.6" x14ac:dyDescent="0.3">
      <c r="A17" s="3" t="s">
        <v>2</v>
      </c>
      <c r="B17" s="10">
        <v>4</v>
      </c>
      <c r="C17">
        <f>width</f>
        <v>0</v>
      </c>
      <c r="D17">
        <v>0.6</v>
      </c>
      <c r="E17">
        <f>v_max</f>
        <v>2871</v>
      </c>
      <c r="F17">
        <f>opacity_gamma</f>
        <v>1.49</v>
      </c>
      <c r="G17">
        <f>viscosity</f>
        <v>0.51</v>
      </c>
      <c r="H17">
        <f>min_width</f>
        <v>2</v>
      </c>
      <c r="I17">
        <f>max_width</f>
        <v>30</v>
      </c>
      <c r="J17">
        <f>z_min</f>
        <v>4</v>
      </c>
      <c r="K17">
        <f>z_max</f>
        <v>83</v>
      </c>
      <c r="L17">
        <f>feedrate_z_exponent</f>
        <v>0.26</v>
      </c>
      <c r="M17">
        <f>feedrate_floor</f>
        <v>20</v>
      </c>
      <c r="N17">
        <f>spray_cone_angle</f>
        <v>15</v>
      </c>
      <c r="O17" s="1">
        <f>MIN(MAX(Table1[[#This Row],[width_mm]],Table1[[#This Row],[min_width]]),Table1[[#This Row],[max_width]])</f>
        <v>2</v>
      </c>
      <c r="P17" s="1">
        <f>TAN(RADIANS(Table1[[#This Row],[spray_cone_angle ]]/2))</f>
        <v>0.13165249758739583</v>
      </c>
      <c r="Q17" s="1">
        <f>Table1[[#This Row],[width_eff]]/(2 * Table1[[#This Row],[cone]])</f>
        <v>7.5957541127251513</v>
      </c>
      <c r="R17" s="12">
        <f>MIN(MAX(Table1[[#This Row],[z_raw]],Table1[[#This Row],[z_min]]),Table1[[#This Row],[z_max]])</f>
        <v>7.5957541127251513</v>
      </c>
      <c r="S17" s="1">
        <f>(1-Table1[[#This Row],[opacity]])^Table1[[#This Row],[opacity_gamma ]]</f>
        <v>0.25531091794448285</v>
      </c>
      <c r="T17" s="1">
        <f>opacity_speed_min + (1-Table1[[#This Row],[opacity]])^opacity_gamma*(1-opacity_speed_min)</f>
        <v>0.80638083866556554</v>
      </c>
      <c r="U17" s="1">
        <f>(Table1[[#This Row],[z_min]]/Table1[[#This Row],[z]])^Table1[[#This Row],[feedrate_z_exponent ]]</f>
        <v>0.84642243167573095</v>
      </c>
      <c r="V17" s="1">
        <f>MAX(0,MIN(1,1-Table1[[#This Row],[viscosity]]))</f>
        <v>0.49</v>
      </c>
      <c r="W17" s="1">
        <f>MAX(0,MIN(1,Table1[[#This Row],[s_opacity]]*Table1[[#This Row],[z_factor]]))*Table1[[#This Row],[visc_factor]]</f>
        <v>0.3344440268568114</v>
      </c>
      <c r="X17" s="2">
        <f>MAX(Table1[[#This Row],[feedrate_floor ]],Table1[[#This Row],[v_max]]*Table1[[#This Row],[speed_factor]])</f>
        <v>960.18880110590555</v>
      </c>
      <c r="Y17" s="4">
        <f>Table1[[#This Row],[feedrate]]/1524</f>
        <v>0.63004514508261522</v>
      </c>
    </row>
    <row r="18" spans="1:25" ht="15.6" x14ac:dyDescent="0.3">
      <c r="A18" s="9"/>
      <c r="B18" s="10"/>
      <c r="C18">
        <f>width</f>
        <v>0</v>
      </c>
      <c r="D18">
        <v>0.65</v>
      </c>
      <c r="E18">
        <f>v_max</f>
        <v>2871</v>
      </c>
      <c r="F18">
        <f>opacity_gamma</f>
        <v>1.49</v>
      </c>
      <c r="G18">
        <f>viscosity</f>
        <v>0.51</v>
      </c>
      <c r="H18">
        <f>min_width</f>
        <v>2</v>
      </c>
      <c r="I18">
        <f>max_width</f>
        <v>30</v>
      </c>
      <c r="J18">
        <f>z_min</f>
        <v>4</v>
      </c>
      <c r="K18">
        <f>z_max</f>
        <v>83</v>
      </c>
      <c r="L18">
        <f>feedrate_z_exponent</f>
        <v>0.26</v>
      </c>
      <c r="M18">
        <f>feedrate_floor</f>
        <v>20</v>
      </c>
      <c r="N18">
        <f>spray_cone_angle</f>
        <v>15</v>
      </c>
      <c r="O18" s="1">
        <f>MIN(MAX(Table1[[#This Row],[width_mm]],Table1[[#This Row],[min_width]]),Table1[[#This Row],[max_width]])</f>
        <v>2</v>
      </c>
      <c r="P18" s="1">
        <f>TAN(RADIANS(Table1[[#This Row],[spray_cone_angle ]]/2))</f>
        <v>0.13165249758739583</v>
      </c>
      <c r="Q18" s="1">
        <f>Table1[[#This Row],[width_eff]]/(2 * Table1[[#This Row],[cone]])</f>
        <v>7.5957541127251513</v>
      </c>
      <c r="R18" s="12">
        <f>MIN(MAX(Table1[[#This Row],[z_raw]],Table1[[#This Row],[z_min]]),Table1[[#This Row],[z_max]])</f>
        <v>7.5957541127251513</v>
      </c>
      <c r="S18" s="1">
        <f>(1-Table1[[#This Row],[opacity]])^Table1[[#This Row],[opacity_gamma ]]</f>
        <v>0.20924803391915414</v>
      </c>
      <c r="T18" s="1">
        <f>opacity_speed_min + (1-Table1[[#This Row],[opacity]])^opacity_gamma*(1-opacity_speed_min)</f>
        <v>0.79440448881898007</v>
      </c>
      <c r="U18" s="1">
        <f>(Table1[[#This Row],[z_min]]/Table1[[#This Row],[z]])^Table1[[#This Row],[feedrate_z_exponent ]]</f>
        <v>0.84642243167573095</v>
      </c>
      <c r="V18" s="1">
        <f>MAX(0,MIN(1,1-Table1[[#This Row],[viscosity]]))</f>
        <v>0.49</v>
      </c>
      <c r="W18" s="1">
        <f>MAX(0,MIN(1,Table1[[#This Row],[s_opacity]]*Table1[[#This Row],[z_factor]]))*Table1[[#This Row],[visc_factor]]</f>
        <v>0.3294768717885358</v>
      </c>
      <c r="X18" s="2">
        <f>MAX(Table1[[#This Row],[feedrate_floor ]],Table1[[#This Row],[v_max]]*Table1[[#This Row],[speed_factor]])</f>
        <v>945.92809890488627</v>
      </c>
      <c r="Y18" s="4">
        <f>Table1[[#This Row],[feedrate]]/1524</f>
        <v>0.62068772894021407</v>
      </c>
    </row>
    <row r="19" spans="1:25" ht="15.6" x14ac:dyDescent="0.3">
      <c r="A19" s="3" t="s">
        <v>3</v>
      </c>
      <c r="B19" s="10">
        <v>83</v>
      </c>
      <c r="C19">
        <f>width</f>
        <v>0</v>
      </c>
      <c r="D19">
        <v>0.7</v>
      </c>
      <c r="E19">
        <f>v_max</f>
        <v>2871</v>
      </c>
      <c r="F19">
        <f>opacity_gamma</f>
        <v>1.49</v>
      </c>
      <c r="G19">
        <f>viscosity</f>
        <v>0.51</v>
      </c>
      <c r="H19">
        <f>min_width</f>
        <v>2</v>
      </c>
      <c r="I19">
        <f>max_width</f>
        <v>30</v>
      </c>
      <c r="J19">
        <f>z_min</f>
        <v>4</v>
      </c>
      <c r="K19">
        <f>z_max</f>
        <v>83</v>
      </c>
      <c r="L19">
        <f>feedrate_z_exponent</f>
        <v>0.26</v>
      </c>
      <c r="M19">
        <f>feedrate_floor</f>
        <v>20</v>
      </c>
      <c r="N19">
        <f>spray_cone_angle</f>
        <v>15</v>
      </c>
      <c r="O19" s="1">
        <f>MIN(MAX(Table1[[#This Row],[width_mm]],Table1[[#This Row],[min_width]]),Table1[[#This Row],[max_width]])</f>
        <v>2</v>
      </c>
      <c r="P19" s="1">
        <f>TAN(RADIANS(Table1[[#This Row],[spray_cone_angle ]]/2))</f>
        <v>0.13165249758739583</v>
      </c>
      <c r="Q19" s="1">
        <f>Table1[[#This Row],[width_eff]]/(2 * Table1[[#This Row],[cone]])</f>
        <v>7.5957541127251513</v>
      </c>
      <c r="R19" s="12">
        <f>MIN(MAX(Table1[[#This Row],[z_raw]],Table1[[#This Row],[z_min]]),Table1[[#This Row],[z_max]])</f>
        <v>7.5957541127251513</v>
      </c>
      <c r="S19" s="1">
        <f>(1-Table1[[#This Row],[opacity]])^Table1[[#This Row],[opacity_gamma ]]</f>
        <v>0.16630705365393161</v>
      </c>
      <c r="T19" s="1">
        <f>opacity_speed_min + (1-Table1[[#This Row],[opacity]])^opacity_gamma*(1-opacity_speed_min)</f>
        <v>0.78323983395002217</v>
      </c>
      <c r="U19" s="1">
        <f>(Table1[[#This Row],[z_min]]/Table1[[#This Row],[z]])^Table1[[#This Row],[feedrate_z_exponent ]]</f>
        <v>0.84642243167573095</v>
      </c>
      <c r="V19" s="1">
        <f>MAX(0,MIN(1,1-Table1[[#This Row],[viscosity]]))</f>
        <v>0.49</v>
      </c>
      <c r="W19" s="1">
        <f>MAX(0,MIN(1,Table1[[#This Row],[s_opacity]]*Table1[[#This Row],[z_factor]]))*Table1[[#This Row],[visc_factor]]</f>
        <v>0.32484636477026402</v>
      </c>
      <c r="X19" s="2">
        <f>MAX(Table1[[#This Row],[feedrate_floor ]],Table1[[#This Row],[v_max]]*Table1[[#This Row],[speed_factor]])</f>
        <v>932.63391325542796</v>
      </c>
      <c r="Y19" s="4">
        <f>Table1[[#This Row],[feedrate]]/1524</f>
        <v>0.61196451001012331</v>
      </c>
    </row>
    <row r="20" spans="1:25" ht="15.6" x14ac:dyDescent="0.3">
      <c r="A20" s="9"/>
      <c r="B20" s="10"/>
      <c r="C20">
        <f>width</f>
        <v>0</v>
      </c>
      <c r="D20">
        <v>0.75</v>
      </c>
      <c r="E20">
        <f>v_max</f>
        <v>2871</v>
      </c>
      <c r="F20">
        <f>opacity_gamma</f>
        <v>1.49</v>
      </c>
      <c r="G20">
        <f>viscosity</f>
        <v>0.51</v>
      </c>
      <c r="H20">
        <f>min_width</f>
        <v>2</v>
      </c>
      <c r="I20">
        <f>max_width</f>
        <v>30</v>
      </c>
      <c r="J20">
        <f>z_min</f>
        <v>4</v>
      </c>
      <c r="K20">
        <f>z_max</f>
        <v>83</v>
      </c>
      <c r="L20">
        <f>feedrate_z_exponent</f>
        <v>0.26</v>
      </c>
      <c r="M20">
        <f>feedrate_floor</f>
        <v>20</v>
      </c>
      <c r="N20">
        <f>spray_cone_angle</f>
        <v>15</v>
      </c>
      <c r="O20" s="1">
        <f>MIN(MAX(Table1[[#This Row],[width_mm]],Table1[[#This Row],[min_width]]),Table1[[#This Row],[max_width]])</f>
        <v>2</v>
      </c>
      <c r="P20" s="1">
        <f>TAN(RADIANS(Table1[[#This Row],[spray_cone_angle ]]/2))</f>
        <v>0.13165249758739583</v>
      </c>
      <c r="Q20" s="1">
        <f>Table1[[#This Row],[width_eff]]/(2 * Table1[[#This Row],[cone]])</f>
        <v>7.5957541127251513</v>
      </c>
      <c r="R20" s="12">
        <f>MIN(MAX(Table1[[#This Row],[z_raw]],Table1[[#This Row],[z_min]]),Table1[[#This Row],[z_max]])</f>
        <v>7.5957541127251513</v>
      </c>
      <c r="S20" s="1">
        <f>(1-Table1[[#This Row],[opacity]])^Table1[[#This Row],[opacity_gamma ]]</f>
        <v>0.12674493497375366</v>
      </c>
      <c r="T20" s="1">
        <f>opacity_speed_min + (1-Table1[[#This Row],[opacity]])^opacity_gamma*(1-opacity_speed_min)</f>
        <v>0.77295368309317591</v>
      </c>
      <c r="U20" s="1">
        <f>(Table1[[#This Row],[z_min]]/Table1[[#This Row],[z]])^Table1[[#This Row],[feedrate_z_exponent ]]</f>
        <v>0.84642243167573095</v>
      </c>
      <c r="V20" s="1">
        <f>MAX(0,MIN(1,1-Table1[[#This Row],[viscosity]]))</f>
        <v>0.49</v>
      </c>
      <c r="W20" s="1">
        <f>MAX(0,MIN(1,Table1[[#This Row],[s_opacity]]*Table1[[#This Row],[z_factor]]))*Table1[[#This Row],[visc_factor]]</f>
        <v>0.32058021464805475</v>
      </c>
      <c r="X20" s="2">
        <f>MAX(Table1[[#This Row],[feedrate_floor ]],Table1[[#This Row],[v_max]]*Table1[[#This Row],[speed_factor]])</f>
        <v>920.38579625456521</v>
      </c>
      <c r="Y20" s="4">
        <f>Table1[[#This Row],[feedrate]]/1524</f>
        <v>0.60392768783107953</v>
      </c>
    </row>
    <row r="21" spans="1:25" ht="15.6" x14ac:dyDescent="0.3">
      <c r="A21" s="3" t="s">
        <v>13</v>
      </c>
      <c r="B21" s="10">
        <f>B22/100</f>
        <v>0.26</v>
      </c>
      <c r="C21">
        <f>width</f>
        <v>0</v>
      </c>
      <c r="D21">
        <v>0.8</v>
      </c>
      <c r="E21">
        <f>v_max</f>
        <v>2871</v>
      </c>
      <c r="F21">
        <f>opacity_gamma</f>
        <v>1.49</v>
      </c>
      <c r="G21">
        <f>viscosity</f>
        <v>0.51</v>
      </c>
      <c r="H21">
        <f>min_width</f>
        <v>2</v>
      </c>
      <c r="I21">
        <f>max_width</f>
        <v>30</v>
      </c>
      <c r="J21">
        <f>z_min</f>
        <v>4</v>
      </c>
      <c r="K21">
        <f>z_max</f>
        <v>83</v>
      </c>
      <c r="L21">
        <f>feedrate_z_exponent</f>
        <v>0.26</v>
      </c>
      <c r="M21">
        <f>feedrate_floor</f>
        <v>20</v>
      </c>
      <c r="N21">
        <f>spray_cone_angle</f>
        <v>15</v>
      </c>
      <c r="O21" s="1">
        <f>MIN(MAX(Table1[[#This Row],[width_mm]],Table1[[#This Row],[min_width]]),Table1[[#This Row],[max_width]])</f>
        <v>2</v>
      </c>
      <c r="P21" s="1">
        <f>TAN(RADIANS(Table1[[#This Row],[spray_cone_angle ]]/2))</f>
        <v>0.13165249758739583</v>
      </c>
      <c r="Q21" s="1">
        <f>Table1[[#This Row],[width_eff]]/(2 * Table1[[#This Row],[cone]])</f>
        <v>7.5957541127251513</v>
      </c>
      <c r="R21" s="12">
        <f>MIN(MAX(Table1[[#This Row],[z_raw]],Table1[[#This Row],[z_min]]),Table1[[#This Row],[z_max]])</f>
        <v>7.5957541127251513</v>
      </c>
      <c r="S21" s="1">
        <f>(1-Table1[[#This Row],[opacity]])^Table1[[#This Row],[opacity_gamma ]]</f>
        <v>9.0893890659227164E-2</v>
      </c>
      <c r="T21" s="1">
        <f>opacity_speed_min + (1-Table1[[#This Row],[opacity]])^opacity_gamma*(1-opacity_speed_min)</f>
        <v>0.76363241157139905</v>
      </c>
      <c r="U21" s="1">
        <f>(Table1[[#This Row],[z_min]]/Table1[[#This Row],[z]])^Table1[[#This Row],[feedrate_z_exponent ]]</f>
        <v>0.84642243167573095</v>
      </c>
      <c r="V21" s="1">
        <f>MAX(0,MIN(1,1-Table1[[#This Row],[viscosity]]))</f>
        <v>0.49</v>
      </c>
      <c r="W21" s="1">
        <f>MAX(0,MIN(1,Table1[[#This Row],[s_opacity]]*Table1[[#This Row],[z_factor]]))*Table1[[#This Row],[visc_factor]]</f>
        <v>0.31671424532724646</v>
      </c>
      <c r="X21" s="2">
        <f>MAX(Table1[[#This Row],[feedrate_floor ]],Table1[[#This Row],[v_max]]*Table1[[#This Row],[speed_factor]])</f>
        <v>909.28659833452457</v>
      </c>
      <c r="Y21" s="4">
        <f>Table1[[#This Row],[feedrate]]/1524</f>
        <v>0.59664474956333635</v>
      </c>
    </row>
    <row r="22" spans="1:25" ht="15.6" x14ac:dyDescent="0.3">
      <c r="A22" s="9"/>
      <c r="B22" s="10">
        <v>26</v>
      </c>
      <c r="C22">
        <f>width</f>
        <v>0</v>
      </c>
      <c r="D22">
        <v>0.85</v>
      </c>
      <c r="E22">
        <f>v_max</f>
        <v>2871</v>
      </c>
      <c r="F22">
        <f>opacity_gamma</f>
        <v>1.49</v>
      </c>
      <c r="G22">
        <f>viscosity</f>
        <v>0.51</v>
      </c>
      <c r="H22">
        <f>min_width</f>
        <v>2</v>
      </c>
      <c r="I22">
        <f>max_width</f>
        <v>30</v>
      </c>
      <c r="J22">
        <f>z_min</f>
        <v>4</v>
      </c>
      <c r="K22">
        <f>z_max</f>
        <v>83</v>
      </c>
      <c r="L22">
        <f>feedrate_z_exponent</f>
        <v>0.26</v>
      </c>
      <c r="M22">
        <f>feedrate_floor</f>
        <v>20</v>
      </c>
      <c r="N22">
        <f>spray_cone_angle</f>
        <v>15</v>
      </c>
      <c r="O22" s="1">
        <f>MIN(MAX(Table1[[#This Row],[width_mm]],Table1[[#This Row],[min_width]]),Table1[[#This Row],[max_width]])</f>
        <v>2</v>
      </c>
      <c r="P22" s="1">
        <f>TAN(RADIANS(Table1[[#This Row],[spray_cone_angle ]]/2))</f>
        <v>0.13165249758739583</v>
      </c>
      <c r="Q22" s="1">
        <f>Table1[[#This Row],[width_eff]]/(2 * Table1[[#This Row],[cone]])</f>
        <v>7.5957541127251513</v>
      </c>
      <c r="R22" s="12">
        <f>MIN(MAX(Table1[[#This Row],[z_raw]],Table1[[#This Row],[z_min]]),Table1[[#This Row],[z_max]])</f>
        <v>7.5957541127251513</v>
      </c>
      <c r="S22" s="1">
        <f>(1-Table1[[#This Row],[opacity]])^Table1[[#This Row],[opacity_gamma ]]</f>
        <v>5.9207398071263524E-2</v>
      </c>
      <c r="T22" s="1">
        <f>opacity_speed_min + (1-Table1[[#This Row],[opacity]])^opacity_gamma*(1-opacity_speed_min)</f>
        <v>0.75539392349852852</v>
      </c>
      <c r="U22" s="1">
        <f>(Table1[[#This Row],[z_min]]/Table1[[#This Row],[z]])^Table1[[#This Row],[feedrate_z_exponent ]]</f>
        <v>0.84642243167573095</v>
      </c>
      <c r="V22" s="1">
        <f>MAX(0,MIN(1,1-Table1[[#This Row],[viscosity]]))</f>
        <v>0.49</v>
      </c>
      <c r="W22" s="1">
        <f>MAX(0,MIN(1,Table1[[#This Row],[s_opacity]]*Table1[[#This Row],[z_factor]]))*Table1[[#This Row],[visc_factor]]</f>
        <v>0.31329735718434082</v>
      </c>
      <c r="X22" s="2">
        <f>MAX(Table1[[#This Row],[feedrate_floor ]],Table1[[#This Row],[v_max]]*Table1[[#This Row],[speed_factor]])</f>
        <v>899.47671247624248</v>
      </c>
      <c r="Y22" s="4">
        <f>Table1[[#This Row],[feedrate]]/1524</f>
        <v>0.59020781658546095</v>
      </c>
    </row>
    <row r="23" spans="1:25" ht="15.6" x14ac:dyDescent="0.3">
      <c r="C23">
        <f>width</f>
        <v>0</v>
      </c>
      <c r="D23">
        <v>0.9</v>
      </c>
      <c r="E23">
        <f>v_max</f>
        <v>2871</v>
      </c>
      <c r="F23">
        <f>opacity_gamma</f>
        <v>1.49</v>
      </c>
      <c r="G23">
        <f>viscosity</f>
        <v>0.51</v>
      </c>
      <c r="H23">
        <f>min_width</f>
        <v>2</v>
      </c>
      <c r="I23">
        <f>max_width</f>
        <v>30</v>
      </c>
      <c r="J23">
        <f>z_min</f>
        <v>4</v>
      </c>
      <c r="K23">
        <f>z_max</f>
        <v>83</v>
      </c>
      <c r="L23">
        <f>feedrate_z_exponent</f>
        <v>0.26</v>
      </c>
      <c r="M23">
        <f>feedrate_floor</f>
        <v>20</v>
      </c>
      <c r="N23">
        <f>spray_cone_angle</f>
        <v>15</v>
      </c>
      <c r="O23" s="1">
        <f>MIN(MAX(Table1[[#This Row],[width_mm]],Table1[[#This Row],[min_width]]),Table1[[#This Row],[max_width]])</f>
        <v>2</v>
      </c>
      <c r="P23" s="1">
        <f>TAN(RADIANS(Table1[[#This Row],[spray_cone_angle ]]/2))</f>
        <v>0.13165249758739583</v>
      </c>
      <c r="Q23" s="1">
        <f>Table1[[#This Row],[width_eff]]/(2 * Table1[[#This Row],[cone]])</f>
        <v>7.5957541127251513</v>
      </c>
      <c r="R23" s="12">
        <f>MIN(MAX(Table1[[#This Row],[z_raw]],Table1[[#This Row],[z_min]]),Table1[[#This Row],[z_max]])</f>
        <v>7.5957541127251513</v>
      </c>
      <c r="S23" s="1">
        <f>(1-Table1[[#This Row],[opacity]])^Table1[[#This Row],[opacity_gamma ]]</f>
        <v>3.2359365692962813E-2</v>
      </c>
      <c r="T23" s="1">
        <f>opacity_speed_min + (1-Table1[[#This Row],[opacity]])^opacity_gamma*(1-opacity_speed_min)</f>
        <v>0.74841343508017033</v>
      </c>
      <c r="U23" s="1">
        <f>(Table1[[#This Row],[z_min]]/Table1[[#This Row],[z]])^Table1[[#This Row],[feedrate_z_exponent ]]</f>
        <v>0.84642243167573095</v>
      </c>
      <c r="V23" s="1">
        <f>MAX(0,MIN(1,1-Table1[[#This Row],[viscosity]]))</f>
        <v>0.49</v>
      </c>
      <c r="W23" s="1">
        <f>MAX(0,MIN(1,Table1[[#This Row],[s_opacity]]*Table1[[#This Row],[z_factor]]))*Table1[[#This Row],[visc_factor]]</f>
        <v>0.31040222061347883</v>
      </c>
      <c r="X23" s="2">
        <f>MAX(Table1[[#This Row],[feedrate_floor ]],Table1[[#This Row],[v_max]]*Table1[[#This Row],[speed_factor]])</f>
        <v>891.16477538129777</v>
      </c>
      <c r="Y23" s="4">
        <f>Table1[[#This Row],[feedrate]]/1524</f>
        <v>0.58475378962027413</v>
      </c>
    </row>
    <row r="24" spans="1:25" ht="15.6" x14ac:dyDescent="0.3">
      <c r="A24" s="3" t="s">
        <v>14</v>
      </c>
      <c r="B24" s="10">
        <v>20</v>
      </c>
      <c r="C24">
        <f>width</f>
        <v>0</v>
      </c>
      <c r="D24">
        <v>0.95</v>
      </c>
      <c r="E24">
        <f>v_max</f>
        <v>2871</v>
      </c>
      <c r="F24">
        <f>opacity_gamma</f>
        <v>1.49</v>
      </c>
      <c r="G24">
        <f>viscosity</f>
        <v>0.51</v>
      </c>
      <c r="H24">
        <f>min_width</f>
        <v>2</v>
      </c>
      <c r="I24">
        <f>max_width</f>
        <v>30</v>
      </c>
      <c r="J24">
        <f>z_min</f>
        <v>4</v>
      </c>
      <c r="K24">
        <f>z_max</f>
        <v>83</v>
      </c>
      <c r="L24">
        <f>feedrate_z_exponent</f>
        <v>0.26</v>
      </c>
      <c r="M24">
        <f>feedrate_floor</f>
        <v>20</v>
      </c>
      <c r="N24">
        <f>spray_cone_angle</f>
        <v>15</v>
      </c>
      <c r="O24" s="1">
        <f>MIN(MAX(Table1[[#This Row],[width_mm]],Table1[[#This Row],[min_width]]),Table1[[#This Row],[max_width]])</f>
        <v>2</v>
      </c>
      <c r="P24" s="1">
        <f>TAN(RADIANS(Table1[[#This Row],[spray_cone_angle ]]/2))</f>
        <v>0.13165249758739583</v>
      </c>
      <c r="Q24" s="1">
        <f>Table1[[#This Row],[width_eff]]/(2 * Table1[[#This Row],[cone]])</f>
        <v>7.5957541127251513</v>
      </c>
      <c r="R24" s="12">
        <f>MIN(MAX(Table1[[#This Row],[z_raw]],Table1[[#This Row],[z_min]]),Table1[[#This Row],[z_max]])</f>
        <v>7.5957541127251513</v>
      </c>
      <c r="S24" s="1">
        <f>(1-Table1[[#This Row],[opacity]])^Table1[[#This Row],[opacity_gamma ]]</f>
        <v>1.1520340261115244E-2</v>
      </c>
      <c r="T24" s="1">
        <f>opacity_speed_min + (1-Table1[[#This Row],[opacity]])^opacity_gamma*(1-opacity_speed_min)</f>
        <v>0.74299528846788998</v>
      </c>
      <c r="U24" s="1">
        <f>(Table1[[#This Row],[z_min]]/Table1[[#This Row],[z]])^Table1[[#This Row],[feedrate_z_exponent ]]</f>
        <v>0.84642243167573095</v>
      </c>
      <c r="V24" s="1">
        <f>MAX(0,MIN(1,1-Table1[[#This Row],[viscosity]]))</f>
        <v>0.49</v>
      </c>
      <c r="W24" s="1">
        <f>MAX(0,MIN(1,Table1[[#This Row],[s_opacity]]*Table1[[#This Row],[z_factor]]))*Table1[[#This Row],[visc_factor]]</f>
        <v>0.30815506060641529</v>
      </c>
      <c r="X24" s="2">
        <f>MAX(Table1[[#This Row],[feedrate_floor ]],Table1[[#This Row],[v_max]]*Table1[[#This Row],[speed_factor]])</f>
        <v>884.71317900101826</v>
      </c>
      <c r="Y24" s="4">
        <f>Table1[[#This Row],[feedrate]]/1524</f>
        <v>0.58052045866208546</v>
      </c>
    </row>
    <row r="25" spans="1:25" ht="15.6" x14ac:dyDescent="0.3">
      <c r="A25" s="9"/>
      <c r="B25" s="10"/>
      <c r="C25">
        <f>width</f>
        <v>0</v>
      </c>
      <c r="D25">
        <v>0.99</v>
      </c>
      <c r="E25">
        <f>v_max</f>
        <v>2871</v>
      </c>
      <c r="F25">
        <f>opacity_gamma</f>
        <v>1.49</v>
      </c>
      <c r="G25">
        <f>viscosity</f>
        <v>0.51</v>
      </c>
      <c r="H25">
        <f>min_width</f>
        <v>2</v>
      </c>
      <c r="I25">
        <f>max_width</f>
        <v>30</v>
      </c>
      <c r="J25">
        <f>z_min</f>
        <v>4</v>
      </c>
      <c r="K25">
        <f>z_max</f>
        <v>83</v>
      </c>
      <c r="L25">
        <f>feedrate_z_exponent</f>
        <v>0.26</v>
      </c>
      <c r="M25">
        <f>feedrate_floor</f>
        <v>20</v>
      </c>
      <c r="N25">
        <f>spray_cone_angle</f>
        <v>15</v>
      </c>
      <c r="O25" s="1">
        <f>MIN(MAX(Table1[[#This Row],[width_mm]],Table1[[#This Row],[min_width]]),Table1[[#This Row],[max_width]])</f>
        <v>2</v>
      </c>
      <c r="P25" s="1">
        <f>TAN(RADIANS(Table1[[#This Row],[spray_cone_angle ]]/2))</f>
        <v>0.13165249758739583</v>
      </c>
      <c r="Q25" s="1">
        <f>Table1[[#This Row],[width_eff]]/(2 * Table1[[#This Row],[cone]])</f>
        <v>7.5957541127251513</v>
      </c>
      <c r="R25" s="12">
        <f>MIN(MAX(Table1[[#This Row],[z_raw]],Table1[[#This Row],[z_min]]),Table1[[#This Row],[z_max]])</f>
        <v>7.5957541127251513</v>
      </c>
      <c r="S25" s="1">
        <f>(1-Table1[[#This Row],[opacity]])^Table1[[#This Row],[opacity_gamma ]]</f>
        <v>1.0471285480509005E-3</v>
      </c>
      <c r="T25" s="1">
        <f>opacity_speed_min + (1-Table1[[#This Row],[opacity]])^opacity_gamma*(1-opacity_speed_min)</f>
        <v>0.74027225342249325</v>
      </c>
      <c r="U25" s="1">
        <f>(Table1[[#This Row],[z_min]]/Table1[[#This Row],[z]])^Table1[[#This Row],[feedrate_z_exponent ]]</f>
        <v>0.84642243167573095</v>
      </c>
      <c r="V25" s="1">
        <f>MAX(0,MIN(1,1-Table1[[#This Row],[viscosity]]))</f>
        <v>0.49</v>
      </c>
      <c r="W25" s="1">
        <f>MAX(0,MIN(1,Table1[[#This Row],[s_opacity]]*Table1[[#This Row],[z_factor]]))*Table1[[#This Row],[visc_factor]]</f>
        <v>0.30702569001353042</v>
      </c>
      <c r="X25" s="2">
        <f>MAX(Table1[[#This Row],[feedrate_floor ]],Table1[[#This Row],[v_max]]*Table1[[#This Row],[speed_factor]])</f>
        <v>881.47075602884581</v>
      </c>
      <c r="Y25" s="4">
        <f>Table1[[#This Row],[feedrate]]/1524</f>
        <v>0.57839288453336335</v>
      </c>
    </row>
    <row r="26" spans="1:25" x14ac:dyDescent="0.3">
      <c r="A26" s="3" t="s">
        <v>15</v>
      </c>
      <c r="B26" s="10">
        <v>15</v>
      </c>
    </row>
    <row r="27" spans="1:25" x14ac:dyDescent="0.3">
      <c r="A27" s="9"/>
      <c r="B27" s="10"/>
    </row>
    <row r="28" spans="1:25" x14ac:dyDescent="0.3">
      <c r="A28" s="11" t="s">
        <v>25</v>
      </c>
      <c r="B28" s="10">
        <f>B30/100</f>
        <v>0.74</v>
      </c>
    </row>
    <row r="29" spans="1:25" x14ac:dyDescent="0.3">
      <c r="A29" s="9"/>
      <c r="B29" s="10"/>
    </row>
    <row r="30" spans="1:25" x14ac:dyDescent="0.3">
      <c r="A30" s="9"/>
      <c r="B30" s="10">
        <v>74</v>
      </c>
    </row>
    <row r="31" spans="1:25" x14ac:dyDescent="0.3">
      <c r="A31" s="11" t="s">
        <v>27</v>
      </c>
      <c r="B31" s="10">
        <v>0</v>
      </c>
    </row>
    <row r="32" spans="1:25" x14ac:dyDescent="0.3">
      <c r="A32" s="9"/>
      <c r="B32" s="10"/>
    </row>
    <row r="33" spans="1:13" x14ac:dyDescent="0.3">
      <c r="A33" s="9"/>
      <c r="B33" s="10"/>
      <c r="C33" t="s">
        <v>22</v>
      </c>
    </row>
    <row r="34" spans="1:13" x14ac:dyDescent="0.3">
      <c r="C34" s="5" t="s">
        <v>23</v>
      </c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3">
      <c r="C35" s="6" t="s">
        <v>24</v>
      </c>
      <c r="D35" s="8">
        <v>0.1</v>
      </c>
      <c r="E35" s="8">
        <v>0.2</v>
      </c>
      <c r="F35" s="8">
        <v>0.3</v>
      </c>
      <c r="G35" s="8">
        <v>0.4</v>
      </c>
      <c r="H35" s="8">
        <v>0.5</v>
      </c>
      <c r="I35" s="8">
        <v>0.6</v>
      </c>
      <c r="J35" s="8">
        <v>0.7</v>
      </c>
      <c r="K35" s="8">
        <v>0.8</v>
      </c>
      <c r="L35" s="8">
        <v>0.9</v>
      </c>
      <c r="M35" s="8">
        <v>0.99990000000000001</v>
      </c>
    </row>
    <row r="36" spans="1:13" x14ac:dyDescent="0.3">
      <c r="C36" s="7">
        <v>2</v>
      </c>
      <c r="D36">
        <f>_xlfn.LET(
 _xlpm.w, MIN(MAX($C36,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0.75181072265763882</v>
      </c>
      <c r="E36">
        <f>_xlfn.LET(
 _xlpm.w, MIN(MAX($C36,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0.7238631737519623</v>
      </c>
      <c r="F36">
        <f>_xlfn.LET(
 _xlpm.w, MIN(MAX($C36,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0.69757922344927581</v>
      </c>
      <c r="G36">
        <f>_xlfn.LET(
 _xlpm.w, MIN(MAX($C36,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0.67307666319666282</v>
      </c>
      <c r="H36">
        <f>_xlfn.LET(
 _xlpm.w, MIN(MAX($C36,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0.65050211574351158</v>
      </c>
      <c r="I36">
        <f>_xlfn.LET(
 _xlpm.w, MIN(MAX($C36,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0.63004514508261522</v>
      </c>
      <c r="J36">
        <f>_xlfn.LET(
 _xlpm.w, MIN(MAX($C36,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0.61196451001012331</v>
      </c>
      <c r="K36">
        <f>_xlfn.LET(
 _xlpm.w, MIN(MAX($C36,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0.59664474956333635</v>
      </c>
      <c r="L36">
        <f>_xlfn.LET(
 _xlpm.w, MIN(MAX($C36,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0.58475378962027413</v>
      </c>
      <c r="M36">
        <f>_xlfn.LET(
 _xlpm.w, MIN(MAX($C36,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0.57818038899420998</v>
      </c>
    </row>
    <row r="37" spans="1:13" x14ac:dyDescent="0.3">
      <c r="C37" s="7">
        <v>3</v>
      </c>
      <c r="D37">
        <f>_xlfn.LET(
 _xlpm.w, MIN(MAX($C37,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0.67658877477146195</v>
      </c>
      <c r="E37">
        <f>_xlfn.LET(
 _xlpm.w, MIN(MAX($C37,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0.6514375002523729</v>
      </c>
      <c r="F37">
        <f>_xlfn.LET(
 _xlpm.w, MIN(MAX($C37,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0.6277833740268457</v>
      </c>
      <c r="G37">
        <f>_xlfn.LET(
 _xlpm.w, MIN(MAX($C37,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0.60573240199298595</v>
      </c>
      <c r="H37">
        <f>_xlfn.LET(
 _xlpm.w, MIN(MAX($C37,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0.58541653665342885</v>
      </c>
      <c r="I37">
        <f>_xlfn.LET(
 _xlpm.w, MIN(MAX($C37,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0.56700637529517606</v>
      </c>
      <c r="J37">
        <f>_xlfn.LET(
 _xlpm.w, MIN(MAX($C37,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0.55073478676616028</v>
      </c>
      <c r="K37">
        <f>_xlfn.LET(
 _xlpm.w, MIN(MAX($C37,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0.53694783529273182</v>
      </c>
      <c r="L37">
        <f>_xlfn.LET(
 _xlpm.w, MIN(MAX($C37,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0.52624661785027116</v>
      </c>
      <c r="M37">
        <f>_xlfn.LET(
 _xlpm.w, MIN(MAX($C37,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0.52033091467973247</v>
      </c>
    </row>
    <row r="38" spans="1:13" x14ac:dyDescent="0.3">
      <c r="C38" s="7">
        <v>4</v>
      </c>
      <c r="D38">
        <f>_xlfn.LET(
 _xlpm.w, MIN(MAX($C38,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0.62782805218810633</v>
      </c>
      <c r="E38">
        <f>_xlfn.LET(
 _xlpm.w, MIN(MAX($C38,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0.60448939171934257</v>
      </c>
      <c r="F38">
        <f>_xlfn.LET(
 _xlpm.w, MIN(MAX($C38,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0.58253998234671334</v>
      </c>
      <c r="G38">
        <f>_xlfn.LET(
 _xlpm.w, MIN(MAX($C38,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0.56207819028469042</v>
      </c>
      <c r="H38">
        <f>_xlfn.LET(
 _xlpm.w, MIN(MAX($C38,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0.5432264584200015</v>
      </c>
      <c r="I38">
        <f>_xlfn.LET(
 _xlpm.w, MIN(MAX($C38,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0.52614308935298626</v>
      </c>
      <c r="J38">
        <f>_xlfn.LET(
 _xlpm.w, MIN(MAX($C38,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0.5110441694283554</v>
      </c>
      <c r="K38">
        <f>_xlfn.LET(
 _xlpm.w, MIN(MAX($C38,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0.49825082255070696</v>
      </c>
      <c r="L38">
        <f>_xlfn.LET(
 _xlpm.w, MIN(MAX($C38,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0.48832082555184919</v>
      </c>
      <c r="M38">
        <f>_xlfn.LET(
 _xlpm.w, MIN(MAX($C38,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0.48283145809946015</v>
      </c>
    </row>
    <row r="39" spans="1:13" x14ac:dyDescent="0.3">
      <c r="C39" s="7">
        <v>5</v>
      </c>
      <c r="D39">
        <f>_xlfn.LET(
 _xlpm.w, MIN(MAX($C39,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0.59243964532334925</v>
      </c>
      <c r="E39">
        <f>_xlfn.LET(
 _xlpm.w, MIN(MAX($C39,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0.57041650111651176</v>
      </c>
      <c r="F39">
        <f>_xlfn.LET(
 _xlpm.w, MIN(MAX($C39,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0.54970430092339062</v>
      </c>
      <c r="G39">
        <f>_xlfn.LET(
 _xlpm.w, MIN(MAX($C39,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0.53039586640910585</v>
      </c>
      <c r="H39">
        <f>_xlfn.LET(
 _xlpm.w, MIN(MAX($C39,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0.51260673879570484</v>
      </c>
      <c r="I39">
        <f>_xlfn.LET(
 _xlpm.w, MIN(MAX($C39,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0.49648629773590008</v>
      </c>
      <c r="J39">
        <f>_xlfn.LET(
 _xlpm.w, MIN(MAX($C39,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0.48223844956515</v>
      </c>
      <c r="K39">
        <f>_xlfn.LET(
 _xlpm.w, MIN(MAX($C39,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0.47016621758972721</v>
      </c>
      <c r="L39">
        <f>_xlfn.LET(
 _xlpm.w, MIN(MAX($C39,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0.46079593876965524</v>
      </c>
      <c r="M39">
        <f>_xlfn.LET(
 _xlpm.w, MIN(MAX($C39,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0.45561598719659541</v>
      </c>
    </row>
    <row r="40" spans="1:13" x14ac:dyDescent="0.3">
      <c r="C40" s="7">
        <v>6</v>
      </c>
      <c r="D40">
        <f>_xlfn.LET(
 _xlpm.w, MIN(MAX($C40,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0.56501111223248979</v>
      </c>
      <c r="E40">
        <f>_xlfn.LET(
 _xlpm.w, MIN(MAX($C40,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0.54400758672337191</v>
      </c>
      <c r="F40">
        <f>_xlfn.LET(
 _xlpm.w, MIN(MAX($C40,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0.52425431166780034</v>
      </c>
      <c r="G40">
        <f>_xlfn.LET(
 _xlpm.w, MIN(MAX($C40,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0.50583981131067135</v>
      </c>
      <c r="H40">
        <f>_xlfn.LET(
 _xlpm.w, MIN(MAX($C40,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0.4888742775928735</v>
      </c>
      <c r="I40">
        <f>_xlfn.LET(
 _xlpm.w, MIN(MAX($C40,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0.47350017424786978</v>
      </c>
      <c r="J40">
        <f>_xlfn.LET(
 _xlpm.w, MIN(MAX($C40,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0.45991196723737943</v>
      </c>
      <c r="K40">
        <f>_xlfn.LET(
 _xlpm.w, MIN(MAX($C40,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0.44839865061617429</v>
      </c>
      <c r="L40">
        <f>_xlfn.LET(
 _xlpm.w, MIN(MAX($C40,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0.43946219320679908</v>
      </c>
      <c r="M40">
        <f>_xlfn.LET(
 _xlpm.w, MIN(MAX($C40,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0.43452206095415824</v>
      </c>
    </row>
    <row r="41" spans="1:13" x14ac:dyDescent="0.3">
      <c r="C41" s="7">
        <v>7</v>
      </c>
      <c r="D41">
        <f>_xlfn.LET(
 _xlpm.w, MIN(MAX($C41,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0.54281372970546604</v>
      </c>
      <c r="E41">
        <f>_xlfn.LET(
 _xlpm.w, MIN(MAX($C41,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0.52263536193227278</v>
      </c>
      <c r="F41">
        <f>_xlfn.LET(
 _xlpm.w, MIN(MAX($C41,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0.50365812648561714</v>
      </c>
      <c r="G41">
        <f>_xlfn.LET(
 _xlpm.w, MIN(MAX($C41,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0.48596706979113768</v>
      </c>
      <c r="H41">
        <f>_xlfn.LET(
 _xlpm.w, MIN(MAX($C41,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0.46966805471970968</v>
      </c>
      <c r="I41">
        <f>_xlfn.LET(
 _xlpm.w, MIN(MAX($C41,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0.45489794808480705</v>
      </c>
      <c r="J41">
        <f>_xlfn.LET(
 _xlpm.w, MIN(MAX($C41,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0.44184357593585855</v>
      </c>
      <c r="K41">
        <f>_xlfn.LET(
 _xlpm.w, MIN(MAX($C41,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0.43078257872512626</v>
      </c>
      <c r="L41">
        <f>_xlfn.LET(
 _xlpm.w, MIN(MAX($C41,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0.42219720461173893</v>
      </c>
      <c r="M41">
        <f>_xlfn.LET(
 _xlpm.w, MIN(MAX($C41,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0.41745115350718853</v>
      </c>
    </row>
    <row r="42" spans="1:13" x14ac:dyDescent="0.3">
      <c r="C42" s="7">
        <v>8</v>
      </c>
      <c r="D42">
        <f>_xlfn.LET(
 _xlpm.w, MIN(MAX($C42,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0.52429162186053135</v>
      </c>
      <c r="E42">
        <f>_xlfn.LET(
 _xlpm.w, MIN(MAX($C42,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0.50480178844742629</v>
      </c>
      <c r="F42">
        <f>_xlfn.LET(
 _xlpm.w, MIN(MAX($C42,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0.48647210184175599</v>
      </c>
      <c r="G42">
        <f>_xlfn.LET(
 _xlpm.w, MIN(MAX($C42,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0.46938470648090519</v>
      </c>
      <c r="H42">
        <f>_xlfn.LET(
 _xlpm.w, MIN(MAX($C42,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0.45364185294040055</v>
      </c>
      <c r="I42">
        <f>_xlfn.LET(
 _xlpm.w, MIN(MAX($C42,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0.43937573780939987</v>
      </c>
      <c r="J42">
        <f>_xlfn.LET(
 _xlpm.w, MIN(MAX($C42,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0.42676681218392443</v>
      </c>
      <c r="K42">
        <f>_xlfn.LET(
 _xlpm.w, MIN(MAX($C42,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0.41608324275734349</v>
      </c>
      <c r="L42">
        <f>_xlfn.LET(
 _xlpm.w, MIN(MAX($C42,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0.40779082222363738</v>
      </c>
      <c r="M42">
        <f>_xlfn.LET(
 _xlpm.w, MIN(MAX($C42,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0.40320671777884398</v>
      </c>
    </row>
    <row r="43" spans="1:13" x14ac:dyDescent="0.3">
      <c r="C43" s="7">
        <v>9</v>
      </c>
      <c r="D43">
        <f>_xlfn.LET(
 _xlpm.w, MIN(MAX($C43,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0.50847928160200628</v>
      </c>
      <c r="E43">
        <f>_xlfn.LET(
 _xlpm.w, MIN(MAX($C43,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0.48957725059630258</v>
      </c>
      <c r="F43">
        <f>_xlfn.LET(
 _xlpm.w, MIN(MAX($C43,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0.4718003770232197</v>
      </c>
      <c r="G43">
        <f>_xlfn.LET(
 _xlpm.w, MIN(MAX($C43,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0.45522832789014001</v>
      </c>
      <c r="H43">
        <f>_xlfn.LET(
 _xlpm.w, MIN(MAX($C43,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0.43996026995277548</v>
      </c>
      <c r="I43">
        <f>_xlfn.LET(
 _xlpm.w, MIN(MAX($C43,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0.42612441282555169</v>
      </c>
      <c r="J43">
        <f>_xlfn.LET(
 _xlpm.w, MIN(MAX($C43,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0.41389576530098682</v>
      </c>
      <c r="K43">
        <f>_xlfn.LET(
 _xlpm.w, MIN(MAX($C43,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0.40353440631589499</v>
      </c>
      <c r="L43">
        <f>_xlfn.LET(
 _xlpm.w, MIN(MAX($C43,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0.39549208051874096</v>
      </c>
      <c r="M43">
        <f>_xlfn.LET(
 _xlpm.w, MIN(MAX($C43,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0.3910462300841957</v>
      </c>
    </row>
    <row r="44" spans="1:13" x14ac:dyDescent="0.3">
      <c r="C44" s="7">
        <v>10</v>
      </c>
      <c r="D44">
        <f>_xlfn.LET(
 _xlpm.w, MIN(MAX($C44,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0.49473919079995676</v>
      </c>
      <c r="E44">
        <f>_xlfn.LET(
 _xlpm.w, MIN(MAX($C44,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0.47634792912499802</v>
      </c>
      <c r="F44">
        <f>_xlfn.LET(
 _xlpm.w, MIN(MAX($C44,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0.45905142095894047</v>
      </c>
      <c r="G44">
        <f>_xlfn.LET(
 _xlpm.w, MIN(MAX($C44,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0.44292718055298752</v>
      </c>
      <c r="H44">
        <f>_xlfn.LET(
 _xlpm.w, MIN(MAX($C44,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0.42807169498586672</v>
      </c>
      <c r="I44">
        <f>_xlfn.LET(
 _xlpm.w, MIN(MAX($C44,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0.41460970940096675</v>
      </c>
      <c r="J44">
        <f>_xlfn.LET(
 _xlpm.w, MIN(MAX($C44,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0.40271150351572371</v>
      </c>
      <c r="K44">
        <f>_xlfn.LET(
 _xlpm.w, MIN(MAX($C44,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0.39263012843251144</v>
      </c>
      <c r="L44">
        <f>_xlfn.LET(
 _xlpm.w, MIN(MAX($C44,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0.3848051217881937</v>
      </c>
      <c r="M44">
        <f>_xlfn.LET(
 _xlpm.w, MIN(MAX($C44,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0.38047940680630743</v>
      </c>
    </row>
    <row r="45" spans="1:13" x14ac:dyDescent="0.3">
      <c r="C45" s="7">
        <v>11</v>
      </c>
      <c r="D45">
        <f>_xlfn.LET(
 _xlpm.w, MIN(MAX($C45,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0.48262989148151603</v>
      </c>
      <c r="E45">
        <f>_xlfn.LET(
 _xlpm.w, MIN(MAX($C45,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0.46468877666495706</v>
      </c>
      <c r="F45">
        <f>_xlfn.LET(
 _xlpm.w, MIN(MAX($C45,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0.44781562003126552</v>
      </c>
      <c r="G45">
        <f>_xlfn.LET(
 _xlpm.w, MIN(MAX($C45,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0.43208603858297967</v>
      </c>
      <c r="H45">
        <f>_xlfn.LET(
 _xlpm.w, MIN(MAX($C45,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0.41759415776882414</v>
      </c>
      <c r="I45">
        <f>_xlfn.LET(
 _xlpm.w, MIN(MAX($C45,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0.40446166945420198</v>
      </c>
      <c r="J45">
        <f>_xlfn.LET(
 _xlpm.w, MIN(MAX($C45,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0.39285468556854203</v>
      </c>
      <c r="K45">
        <f>_xlfn.LET(
 _xlpm.w, MIN(MAX($C45,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0.38302006350327161</v>
      </c>
      <c r="L45">
        <f>_xlfn.LET(
 _xlpm.w, MIN(MAX($C45,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0.37538658271618719</v>
      </c>
      <c r="M45">
        <f>_xlfn.LET(
 _xlpm.w, MIN(MAX($C45,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0.37116674448402276</v>
      </c>
    </row>
    <row r="46" spans="1:13" x14ac:dyDescent="0.3">
      <c r="C46" s="7">
        <v>12</v>
      </c>
      <c r="D46">
        <f>_xlfn.LET(
 _xlpm.w, MIN(MAX($C46,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0.47183395416813867</v>
      </c>
      <c r="E46">
        <f>_xlfn.LET(
 _xlpm.w, MIN(MAX($C46,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0.45429416375006887</v>
      </c>
      <c r="F46">
        <f>_xlfn.LET(
 _xlpm.w, MIN(MAX($C46,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0.43779844238201521</v>
      </c>
      <c r="G46">
        <f>_xlfn.LET(
 _xlpm.w, MIN(MAX($C46,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0.42242071559146732</v>
      </c>
      <c r="H46">
        <f>_xlfn.LET(
 _xlpm.w, MIN(MAX($C46,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0.40825300333707976</v>
      </c>
      <c r="I46">
        <f>_xlfn.LET(
 _xlpm.w, MIN(MAX($C46,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0.39541427536162388</v>
      </c>
      <c r="J46">
        <f>_xlfn.LET(
 _xlpm.w, MIN(MAX($C46,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0.38406692784047147</v>
      </c>
      <c r="K46">
        <f>_xlfn.LET(
 _xlpm.w, MIN(MAX($C46,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0.37445229621754916</v>
      </c>
      <c r="L46">
        <f>_xlfn.LET(
 _xlpm.w, MIN(MAX($C46,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0.36698956859249382</v>
      </c>
      <c r="M46">
        <f>_xlfn.LET(
 _xlpm.w, MIN(MAX($C46,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0.36286412382793498</v>
      </c>
    </row>
    <row r="47" spans="1:13" x14ac:dyDescent="0.3">
      <c r="C47" s="7">
        <v>13</v>
      </c>
      <c r="D47">
        <f>_xlfn.LET(
 _xlpm.w, MIN(MAX($C47,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0.46211603967890125</v>
      </c>
      <c r="E47">
        <f>_xlfn.LET(
 _xlpm.w, MIN(MAX($C47,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0.4449374996158264</v>
      </c>
      <c r="F47">
        <f>_xlfn.LET(
 _xlpm.w, MIN(MAX($C47,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0.42878152490711541</v>
      </c>
      <c r="G47">
        <f>_xlfn.LET(
 _xlpm.w, MIN(MAX($C47,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0.4137205185065887</v>
      </c>
      <c r="H47">
        <f>_xlfn.LET(
 _xlpm.w, MIN(MAX($C47,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0.3998446051254701</v>
      </c>
      <c r="I47">
        <f>_xlfn.LET(
 _xlpm.w, MIN(MAX($C47,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0.3872703042000683</v>
      </c>
      <c r="J47">
        <f>_xlfn.LET(
 _xlpm.w, MIN(MAX($C47,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0.37615666718642832</v>
      </c>
      <c r="K47">
        <f>_xlfn.LET(
 _xlpm.w, MIN(MAX($C47,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0.36674005897223211</v>
      </c>
      <c r="L47">
        <f>_xlfn.LET(
 _xlpm.w, MIN(MAX($C47,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0.359431034039143</v>
      </c>
      <c r="M47">
        <f>_xlfn.LET(
 _xlpm.w, MIN(MAX($C47,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0.35539055713053835</v>
      </c>
    </row>
    <row r="48" spans="1:13" x14ac:dyDescent="0.3">
      <c r="C48" s="7">
        <v>14</v>
      </c>
      <c r="D48">
        <f>_xlfn.LET(
 _xlpm.w, MIN(MAX($C48,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0.45329718817689096</v>
      </c>
      <c r="E48">
        <f>_xlfn.LET(
 _xlpm.w, MIN(MAX($C48,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0.43644647701571454</v>
      </c>
      <c r="F48">
        <f>_xlfn.LET(
 _xlpm.w, MIN(MAX($C48,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0.42059881695006457</v>
      </c>
      <c r="G48">
        <f>_xlfn.LET(
 _xlpm.w, MIN(MAX($C48,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0.4058252292225823</v>
      </c>
      <c r="H48">
        <f>_xlfn.LET(
 _xlpm.w, MIN(MAX($C48,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0.39221411863785194</v>
      </c>
      <c r="I48">
        <f>_xlfn.LET(
 _xlpm.w, MIN(MAX($C48,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0.37987978101837605</v>
      </c>
      <c r="J48">
        <f>_xlfn.LET(
 _xlpm.w, MIN(MAX($C48,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0.36897823254106693</v>
      </c>
      <c r="K48">
        <f>_xlfn.LET(
 _xlpm.w, MIN(MAX($C48,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0.35974132739355347</v>
      </c>
      <c r="L48">
        <f>_xlfn.LET(
 _xlpm.w, MIN(MAX($C48,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0.35257178518769072</v>
      </c>
      <c r="M48">
        <f>_xlfn.LET(
 _xlpm.w, MIN(MAX($C48,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0.34860841524529101</v>
      </c>
    </row>
    <row r="49" spans="3:13" x14ac:dyDescent="0.3">
      <c r="C49" s="7">
        <v>15</v>
      </c>
      <c r="D49">
        <f>_xlfn.LET(
 _xlpm.w, MIN(MAX($C49,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0.44523837296638263</v>
      </c>
      <c r="E49">
        <f>_xlfn.LET(
 _xlpm.w, MIN(MAX($C49,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0.42868723738377912</v>
      </c>
      <c r="F49">
        <f>_xlfn.LET(
 _xlpm.w, MIN(MAX($C49,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0.41312132043791694</v>
      </c>
      <c r="G49">
        <f>_xlfn.LET(
 _xlpm.w, MIN(MAX($C49,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0.39861038074046307</v>
      </c>
      <c r="H49">
        <f>_xlfn.LET(
 _xlpm.w, MIN(MAX($C49,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0.38524125141631205</v>
      </c>
      <c r="I49">
        <f>_xlfn.LET(
 _xlpm.w, MIN(MAX($C49,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0.37312619631217475</v>
      </c>
      <c r="J49">
        <f>_xlfn.LET(
 _xlpm.w, MIN(MAX($C49,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0.36241845791570987</v>
      </c>
      <c r="K49">
        <f>_xlfn.LET(
 _xlpm.w, MIN(MAX($C49,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0.35334576846077598</v>
      </c>
      <c r="L49">
        <f>_xlfn.LET(
 _xlpm.w, MIN(MAX($C49,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0.34630368792308142</v>
      </c>
      <c r="M49">
        <f>_xlfn.LET(
 _xlpm.w, MIN(MAX($C49,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0.34241077962661676</v>
      </c>
    </row>
    <row r="50" spans="3:13" x14ac:dyDescent="0.3">
      <c r="C50" s="7">
        <v>16</v>
      </c>
      <c r="D50">
        <f>_xlfn.LET(
 _xlpm.w, MIN(MAX($C50,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0.43782959967323654</v>
      </c>
      <c r="E50">
        <f>_xlfn.LET(
 _xlpm.w, MIN(MAX($C50,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0.42155387523828103</v>
      </c>
      <c r="F50">
        <f>_xlfn.LET(
 _xlpm.w, MIN(MAX($C50,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0.40624697538697774</v>
      </c>
      <c r="G50">
        <f>_xlfn.LET(
 _xlpm.w, MIN(MAX($C50,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0.39197749794663495</v>
      </c>
      <c r="H50">
        <f>_xlfn.LET(
 _xlpm.w, MIN(MAX($C50,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0.37883083113762944</v>
      </c>
      <c r="I50">
        <f>_xlfn.LET(
 _xlpm.w, MIN(MAX($C50,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0.36691737073455644</v>
      </c>
      <c r="J50">
        <f>_xlfn.LET(
 _xlpm.w, MIN(MAX($C50,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0.3563878092677511</v>
      </c>
      <c r="K50">
        <f>_xlfn.LET(
 _xlpm.w, MIN(MAX($C50,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0.34746608950323915</v>
      </c>
      <c r="L50">
        <f>_xlfn.LET(
 _xlpm.w, MIN(MAX($C50,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0.34054118929272137</v>
      </c>
      <c r="M50">
        <f>_xlfn.LET(
 _xlpm.w, MIN(MAX($C50,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0.33671305904947652</v>
      </c>
    </row>
    <row r="51" spans="3:13" x14ac:dyDescent="0.3">
      <c r="C51" s="7">
        <v>17</v>
      </c>
      <c r="D51">
        <f>_xlfn.LET(
 _xlpm.w, MIN(MAX($C51,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0.43098245911471034</v>
      </c>
      <c r="E51">
        <f>_xlfn.LET(
 _xlpm.w, MIN(MAX($C51,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0.41496126788852195</v>
      </c>
      <c r="F51">
        <f>_xlfn.LET(
 _xlpm.w, MIN(MAX($C51,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0.39989374996771243</v>
      </c>
      <c r="G51">
        <f>_xlfn.LET(
 _xlpm.w, MIN(MAX($C51,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0.385847430390163</v>
      </c>
      <c r="H51">
        <f>_xlfn.LET(
 _xlpm.w, MIN(MAX($C51,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0.37290636200480121</v>
      </c>
      <c r="I51">
        <f>_xlfn.LET(
 _xlpm.w, MIN(MAX($C51,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0.36117921412600512</v>
      </c>
      <c r="J51">
        <f>_xlfn.LET(
 _xlpm.w, MIN(MAX($C51,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0.35081432262997536</v>
      </c>
      <c r="K51">
        <f>_xlfn.LET(
 _xlpm.w, MIN(MAX($C51,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0.34203212808097416</v>
      </c>
      <c r="L51">
        <f>_xlfn.LET(
 _xlpm.w, MIN(MAX($C51,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0.33521552517408904</v>
      </c>
      <c r="M51">
        <f>_xlfn.LET(
 _xlpm.w, MIN(MAX($C51,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0.3314472623904024</v>
      </c>
    </row>
    <row r="52" spans="3:13" x14ac:dyDescent="0.3">
      <c r="C52" s="7">
        <v>18</v>
      </c>
      <c r="D52">
        <f>_xlfn.LET(
 _xlpm.w, MIN(MAX($C52,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0.42462490534545133</v>
      </c>
      <c r="E52">
        <f>_xlfn.LET(
 _xlpm.w, MIN(MAX($C52,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0.40884004759992765</v>
      </c>
      <c r="F52">
        <f>_xlfn.LET(
 _xlpm.w, MIN(MAX($C52,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0.39399479523384073</v>
      </c>
      <c r="G52">
        <f>_xlfn.LET(
 _xlpm.w, MIN(MAX($C52,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0.38015567720263249</v>
      </c>
      <c r="H52">
        <f>_xlfn.LET(
 _xlpm.w, MIN(MAX($C52,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0.367405506466007</v>
      </c>
      <c r="I52">
        <f>_xlfn.LET(
 _xlpm.w, MIN(MAX($C52,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0.35585134932412549</v>
      </c>
      <c r="J52">
        <f>_xlfn.LET(
 _xlpm.w, MIN(MAX($C52,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0.34563935350541375</v>
      </c>
      <c r="K52">
        <f>_xlfn.LET(
 _xlpm.w, MIN(MAX($C52,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0.33698670778810297</v>
      </c>
      <c r="L52">
        <f>_xlfn.LET(
 _xlpm.w, MIN(MAX($C52,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0.33027065867079253</v>
      </c>
      <c r="M52">
        <f>_xlfn.LET(
 _xlpm.w, MIN(MAX($C52,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0.32655798268131836</v>
      </c>
    </row>
    <row r="53" spans="3:13" x14ac:dyDescent="0.3">
      <c r="C53" s="7">
        <v>19</v>
      </c>
      <c r="D53">
        <f>_xlfn.LET(
 _xlpm.w, MIN(MAX($C53,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0.41869751000356209</v>
      </c>
      <c r="E53">
        <f>_xlfn.LET(
 _xlpm.w, MIN(MAX($C53,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0.40313299517974505</v>
      </c>
      <c r="F53">
        <f>_xlfn.LET(
 _xlpm.w, MIN(MAX($C53,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0.38849496965931934</v>
      </c>
      <c r="G53">
        <f>_xlfn.LET(
 _xlpm.w, MIN(MAX($C53,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0.37484903371121875</v>
      </c>
      <c r="H53">
        <f>_xlfn.LET(
 _xlpm.w, MIN(MAX($C53,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0.36227684429806523</v>
      </c>
      <c r="I53">
        <f>_xlfn.LET(
 _xlpm.w, MIN(MAX($C53,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0.35088397316734349</v>
      </c>
      <c r="J53">
        <f>_xlfn.LET(
 _xlpm.w, MIN(MAX($C53,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0.34081452795196476</v>
      </c>
      <c r="K53">
        <f>_xlfn.LET(
 _xlpm.w, MIN(MAX($C53,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0.33228266566321446</v>
      </c>
      <c r="L53">
        <f>_xlfn.LET(
 _xlpm.w, MIN(MAX($C53,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0.32566036676581039</v>
      </c>
      <c r="M53">
        <f>_xlfn.LET(
 _xlpm.w, MIN(MAX($C53,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0.32199951651262476</v>
      </c>
    </row>
    <row r="54" spans="3:13" x14ac:dyDescent="0.3">
      <c r="C54" s="7">
        <v>20</v>
      </c>
      <c r="D54">
        <f>_xlfn.LET(
 _xlpm.w, MIN(MAX($C54,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0.41315072150481091</v>
      </c>
      <c r="E54">
        <f>_xlfn.LET(
 _xlpm.w, MIN(MAX($C54,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0.39779240105700686</v>
      </c>
      <c r="F54">
        <f>_xlfn.LET(
 _xlpm.w, MIN(MAX($C54,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0.38334829603923815</v>
      </c>
      <c r="G54">
        <f>_xlfn.LET(
 _xlpm.w, MIN(MAX($C54,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0.36988313766626807</v>
      </c>
      <c r="H54">
        <f>_xlfn.LET(
 _xlpm.w, MIN(MAX($C54,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0.357477501131923</v>
      </c>
      <c r="I54">
        <f>_xlfn.LET(
 _xlpm.w, MIN(MAX($C54,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0.34623555959845415</v>
      </c>
      <c r="J54">
        <f>_xlfn.LET(
 _xlpm.w, MIN(MAX($C54,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0.33629951160081617</v>
      </c>
      <c r="K54">
        <f>_xlfn.LET(
 _xlpm.w, MIN(MAX($C54,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0.32788067705759932</v>
      </c>
      <c r="L54">
        <f>_xlfn.LET(
 _xlpm.w, MIN(MAX($C54,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0.32134610853948292</v>
      </c>
      <c r="M54">
        <f>_xlfn.LET(
 _xlpm.w, MIN(MAX($C54,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0.31773375621521938</v>
      </c>
    </row>
    <row r="55" spans="3:13" x14ac:dyDescent="0.3">
      <c r="C55" s="7">
        <v>21</v>
      </c>
      <c r="D55">
        <f>_xlfn.LET(
 _xlpm.w, MIN(MAX($C55,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0.40794282378919366</v>
      </c>
      <c r="E55">
        <f>_xlfn.LET(
 _xlpm.w, MIN(MAX($C55,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0.39277809990993617</v>
      </c>
      <c r="F55">
        <f>_xlfn.LET(
 _xlpm.w, MIN(MAX($C55,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0.3785160674812027</v>
      </c>
      <c r="G55">
        <f>_xlfn.LET(
 _xlpm.w, MIN(MAX($C55,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0.36522064175997665</v>
      </c>
      <c r="H55">
        <f>_xlfn.LET(
 _xlpm.w, MIN(MAX($C55,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0.35297138226385311</v>
      </c>
      <c r="I55">
        <f>_xlfn.LET(
 _xlpm.w, MIN(MAX($C55,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0.34187114901887045</v>
      </c>
      <c r="J55">
        <f>_xlfn.LET(
 _xlpm.w, MIN(MAX($C55,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0.33206034810171847</v>
      </c>
      <c r="K55">
        <f>_xlfn.LET(
 _xlpm.w, MIN(MAX($C55,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0.32374763567545228</v>
      </c>
      <c r="L55">
        <f>_xlfn.LET(
 _xlpm.w, MIN(MAX($C55,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0.31729543749505207</v>
      </c>
      <c r="M55">
        <f>_xlfn.LET(
 _xlpm.w, MIN(MAX($C55,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0.31372862003358387</v>
      </c>
    </row>
    <row r="56" spans="3:13" x14ac:dyDescent="0.3">
      <c r="C56" s="7">
        <v>22</v>
      </c>
      <c r="D56">
        <f>_xlfn.LET(
 _xlpm.w, MIN(MAX($C56,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56">
        <f>_xlfn.LET(
 _xlpm.w, MIN(MAX($C56,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56">
        <f>_xlfn.LET(
 _xlpm.w, MIN(MAX($C56,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56">
        <f>_xlfn.LET(
 _xlpm.w, MIN(MAX($C56,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56">
        <f>_xlfn.LET(
 _xlpm.w, MIN(MAX($C56,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56">
        <f>_xlfn.LET(
 _xlpm.w, MIN(MAX($C56,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56">
        <f>_xlfn.LET(
 _xlpm.w, MIN(MAX($C56,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56">
        <f>_xlfn.LET(
 _xlpm.w, MIN(MAX($C56,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56">
        <f>_xlfn.LET(
 _xlpm.w, MIN(MAX($C56,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56">
        <f>_xlfn.LET(
 _xlpm.w, MIN(MAX($C56,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57" spans="3:13" x14ac:dyDescent="0.3">
      <c r="C57" s="7">
        <v>23</v>
      </c>
      <c r="D57">
        <f>_xlfn.LET(
 _xlpm.w, MIN(MAX($C57,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57">
        <f>_xlfn.LET(
 _xlpm.w, MIN(MAX($C57,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57">
        <f>_xlfn.LET(
 _xlpm.w, MIN(MAX($C57,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57">
        <f>_xlfn.LET(
 _xlpm.w, MIN(MAX($C57,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57">
        <f>_xlfn.LET(
 _xlpm.w, MIN(MAX($C57,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57">
        <f>_xlfn.LET(
 _xlpm.w, MIN(MAX($C57,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57">
        <f>_xlfn.LET(
 _xlpm.w, MIN(MAX($C57,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57">
        <f>_xlfn.LET(
 _xlpm.w, MIN(MAX($C57,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57">
        <f>_xlfn.LET(
 _xlpm.w, MIN(MAX($C57,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57">
        <f>_xlfn.LET(
 _xlpm.w, MIN(MAX($C57,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58" spans="3:13" x14ac:dyDescent="0.3">
      <c r="C58" s="7">
        <v>24</v>
      </c>
      <c r="D58">
        <f>_xlfn.LET(
 _xlpm.w, MIN(MAX($C58,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58">
        <f>_xlfn.LET(
 _xlpm.w, MIN(MAX($C58,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58">
        <f>_xlfn.LET(
 _xlpm.w, MIN(MAX($C58,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58">
        <f>_xlfn.LET(
 _xlpm.w, MIN(MAX($C58,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58">
        <f>_xlfn.LET(
 _xlpm.w, MIN(MAX($C58,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58">
        <f>_xlfn.LET(
 _xlpm.w, MIN(MAX($C58,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58">
        <f>_xlfn.LET(
 _xlpm.w, MIN(MAX($C58,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58">
        <f>_xlfn.LET(
 _xlpm.w, MIN(MAX($C58,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58">
        <f>_xlfn.LET(
 _xlpm.w, MIN(MAX($C58,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58">
        <f>_xlfn.LET(
 _xlpm.w, MIN(MAX($C58,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59" spans="3:13" x14ac:dyDescent="0.3">
      <c r="C59" s="7">
        <v>25</v>
      </c>
      <c r="D59">
        <f>_xlfn.LET(
 _xlpm.w, MIN(MAX($C59,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59">
        <f>_xlfn.LET(
 _xlpm.w, MIN(MAX($C59,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59">
        <f>_xlfn.LET(
 _xlpm.w, MIN(MAX($C59,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59">
        <f>_xlfn.LET(
 _xlpm.w, MIN(MAX($C59,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59">
        <f>_xlfn.LET(
 _xlpm.w, MIN(MAX($C59,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59">
        <f>_xlfn.LET(
 _xlpm.w, MIN(MAX($C59,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59">
        <f>_xlfn.LET(
 _xlpm.w, MIN(MAX($C59,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59">
        <f>_xlfn.LET(
 _xlpm.w, MIN(MAX($C59,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59">
        <f>_xlfn.LET(
 _xlpm.w, MIN(MAX($C59,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59">
        <f>_xlfn.LET(
 _xlpm.w, MIN(MAX($C59,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60" spans="3:13" x14ac:dyDescent="0.3">
      <c r="C60" s="7">
        <v>26</v>
      </c>
      <c r="D60">
        <f>_xlfn.LET(
 _xlpm.w, MIN(MAX($C60,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60">
        <f>_xlfn.LET(
 _xlpm.w, MIN(MAX($C60,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60">
        <f>_xlfn.LET(
 _xlpm.w, MIN(MAX($C60,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60">
        <f>_xlfn.LET(
 _xlpm.w, MIN(MAX($C60,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60">
        <f>_xlfn.LET(
 _xlpm.w, MIN(MAX($C60,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60">
        <f>_xlfn.LET(
 _xlpm.w, MIN(MAX($C60,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60">
        <f>_xlfn.LET(
 _xlpm.w, MIN(MAX($C60,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60">
        <f>_xlfn.LET(
 _xlpm.w, MIN(MAX($C60,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60">
        <f>_xlfn.LET(
 _xlpm.w, MIN(MAX($C60,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60">
        <f>_xlfn.LET(
 _xlpm.w, MIN(MAX($C60,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61" spans="3:13" x14ac:dyDescent="0.3">
      <c r="C61" s="7">
        <v>27</v>
      </c>
      <c r="D61">
        <f>_xlfn.LET(
 _xlpm.w, MIN(MAX($C61,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61">
        <f>_xlfn.LET(
 _xlpm.w, MIN(MAX($C61,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61">
        <f>_xlfn.LET(
 _xlpm.w, MIN(MAX($C61,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61">
        <f>_xlfn.LET(
 _xlpm.w, MIN(MAX($C61,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61">
        <f>_xlfn.LET(
 _xlpm.w, MIN(MAX($C61,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61">
        <f>_xlfn.LET(
 _xlpm.w, MIN(MAX($C61,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61">
        <f>_xlfn.LET(
 _xlpm.w, MIN(MAX($C61,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61">
        <f>_xlfn.LET(
 _xlpm.w, MIN(MAX($C61,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61">
        <f>_xlfn.LET(
 _xlpm.w, MIN(MAX($C61,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61">
        <f>_xlfn.LET(
 _xlpm.w, MIN(MAX($C61,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62" spans="3:13" x14ac:dyDescent="0.3">
      <c r="C62" s="7">
        <v>28</v>
      </c>
      <c r="D62">
        <f>_xlfn.LET(
 _xlpm.w, MIN(MAX($C62,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62">
        <f>_xlfn.LET(
 _xlpm.w, MIN(MAX($C62,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62">
        <f>_xlfn.LET(
 _xlpm.w, MIN(MAX($C62,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62">
        <f>_xlfn.LET(
 _xlpm.w, MIN(MAX($C62,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62">
        <f>_xlfn.LET(
 _xlpm.w, MIN(MAX($C62,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62">
        <f>_xlfn.LET(
 _xlpm.w, MIN(MAX($C62,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62">
        <f>_xlfn.LET(
 _xlpm.w, MIN(MAX($C62,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62">
        <f>_xlfn.LET(
 _xlpm.w, MIN(MAX($C62,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62">
        <f>_xlfn.LET(
 _xlpm.w, MIN(MAX($C62,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62">
        <f>_xlfn.LET(
 _xlpm.w, MIN(MAX($C62,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63" spans="3:13" x14ac:dyDescent="0.3">
      <c r="C63" s="7">
        <v>29</v>
      </c>
      <c r="D63">
        <f>_xlfn.LET(
 _xlpm.w, MIN(MAX($C63,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63">
        <f>_xlfn.LET(
 _xlpm.w, MIN(MAX($C63,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63">
        <f>_xlfn.LET(
 _xlpm.w, MIN(MAX($C63,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63">
        <f>_xlfn.LET(
 _xlpm.w, MIN(MAX($C63,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63">
        <f>_xlfn.LET(
 _xlpm.w, MIN(MAX($C63,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63">
        <f>_xlfn.LET(
 _xlpm.w, MIN(MAX($C63,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63">
        <f>_xlfn.LET(
 _xlpm.w, MIN(MAX($C63,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63">
        <f>_xlfn.LET(
 _xlpm.w, MIN(MAX($C63,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63">
        <f>_xlfn.LET(
 _xlpm.w, MIN(MAX($C63,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63">
        <f>_xlfn.LET(
 _xlpm.w, MIN(MAX($C63,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  <row r="64" spans="3:13" x14ac:dyDescent="0.3">
      <c r="C64" s="7">
        <v>30</v>
      </c>
      <c r="D64">
        <f>_xlfn.LET(
 _xlpm.w, MIN(MAX($C64, min_width), max_width),
 _xlpm.cone, TAN(RADIANS(spray_cone_angle/2)),
 _xlpm.z, MIN(MAX(_xlpm.w/(2*_xlpm.cone), z_min), z_max),
 _xlpm.sOpacity, opacity_speed_min + (1-D$35)^opacity_gamma*(1-opacity_speed_min),
 _xlpm.sfRaw, _xlpm.sOpacity * (z_min/_xlpm.z)^feedrate_z_exponent * (1-viscosity),
 _xlpm.sf, MAX(0,MIN(1,_xlpm.sfRaw)),
 MAX(feedrate_floor, v_max*_xlpm.sf) / 1524
)</f>
        <v>0.40373522737224987</v>
      </c>
      <c r="E64">
        <f>_xlfn.LET(
 _xlpm.w, MIN(MAX($C64, min_width), max_width),
 _xlpm.cone, TAN(RADIANS(spray_cone_angle/2)),
 _xlpm.z, MIN(MAX(_xlpm.w/(2*_xlpm.cone), z_min), z_max),
 _xlpm.sOpacity, opacity_speed_min + (1-E$35)^opacity_gamma*(1-opacity_speed_min),
 _xlpm.sfRaw, _xlpm.sOpacity * (z_min/_xlpm.z)^feedrate_z_exponent * (1-viscosity),
 _xlpm.sf, MAX(0,MIN(1,_xlpm.sfRaw)),
 MAX(feedrate_floor, v_max*_xlpm.sf) / 1524
)</f>
        <v>0.38872691521085417</v>
      </c>
      <c r="F64">
        <f>_xlfn.LET(
 _xlpm.w, MIN(MAX($C64, min_width), max_width),
 _xlpm.cone, TAN(RADIANS(spray_cone_angle/2)),
 _xlpm.z, MIN(MAX(_xlpm.w/(2*_xlpm.cone), z_min), z_max),
 _xlpm.sOpacity, opacity_speed_min + (1-F$35)^opacity_gamma*(1-opacity_speed_min),
 _xlpm.sfRaw, _xlpm.sOpacity * (z_min/_xlpm.z)^feedrate_z_exponent * (1-viscosity),
 _xlpm.sf, MAX(0,MIN(1,_xlpm.sfRaw)),
 MAX(feedrate_floor, v_max*_xlpm.sf) / 1524
)</f>
        <v>0.37461198397632262</v>
      </c>
      <c r="G64">
        <f>_xlfn.LET(
 _xlpm.w, MIN(MAX($C64, min_width), max_width),
 _xlpm.cone, TAN(RADIANS(spray_cone_angle/2)),
 _xlpm.z, MIN(MAX(_xlpm.w/(2*_xlpm.cone), z_min), z_max),
 _xlpm.sOpacity, opacity_speed_min + (1-G$35)^opacity_gamma*(1-opacity_speed_min),
 _xlpm.sfRaw, _xlpm.sOpacity * (z_min/_xlpm.z)^feedrate_z_exponent * (1-viscosity),
 _xlpm.sf, MAX(0,MIN(1,_xlpm.sfRaw)),
 MAX(feedrate_floor, v_max*_xlpm.sf) / 1524
)</f>
        <v>0.36145368969206315</v>
      </c>
      <c r="H64">
        <f>_xlfn.LET(
 _xlpm.w, MIN(MAX($C64, min_width), max_width),
 _xlpm.cone, TAN(RADIANS(spray_cone_angle/2)),
 _xlpm.z, MIN(MAX(_xlpm.w/(2*_xlpm.cone), z_min), z_max),
 _xlpm.sOpacity, opacity_speed_min + (1-H$35)^opacity_gamma*(1-opacity_speed_min),
 _xlpm.sfRaw, _xlpm.sOpacity * (z_min/_xlpm.z)^feedrate_z_exponent * (1-viscosity),
 _xlpm.sf, MAX(0,MIN(1,_xlpm.sfRaw)),
 MAX(feedrate_floor, v_max*_xlpm.sf) / 1524
)</f>
        <v>0.34933077128434842</v>
      </c>
      <c r="I64">
        <f>_xlfn.LET(
 _xlpm.w, MIN(MAX($C64, min_width), max_width),
 _xlpm.cone, TAN(RADIANS(spray_cone_angle/2)),
 _xlpm.z, MIN(MAX(_xlpm.w/(2*_xlpm.cone), z_min), z_max),
 _xlpm.sOpacity, opacity_speed_min + (1-I$35)^opacity_gamma*(1-opacity_speed_min),
 _xlpm.sfRaw, _xlpm.sOpacity * (z_min/_xlpm.z)^feedrate_z_exponent * (1-viscosity),
 _xlpm.sf, MAX(0,MIN(1,_xlpm.sfRaw)),
 MAX(feedrate_floor, v_max*_xlpm.sf) / 1524
)</f>
        <v>0.33834502786221637</v>
      </c>
      <c r="J64">
        <f>_xlfn.LET(
 _xlpm.w, MIN(MAX($C64, min_width), max_width),
 _xlpm.cone, TAN(RADIANS(spray_cone_angle/2)),
 _xlpm.z, MIN(MAX(_xlpm.w/(2*_xlpm.cone), z_min), z_max),
 _xlpm.sOpacity, opacity_speed_min + (1-J$35)^opacity_gamma*(1-opacity_speed_min),
 _xlpm.sfRaw, _xlpm.sOpacity * (z_min/_xlpm.z)^feedrate_z_exponent * (1-viscosity),
 _xlpm.sf, MAX(0,MIN(1,_xlpm.sfRaw)),
 MAX(feedrate_floor, v_max*_xlpm.sf) / 1524
)</f>
        <v>0.32863541732856694</v>
      </c>
      <c r="K64">
        <f>_xlfn.LET(
 _xlpm.w, MIN(MAX($C64, min_width), max_width),
 _xlpm.cone, TAN(RADIANS(spray_cone_angle/2)),
 _xlpm.z, MIN(MAX(_xlpm.w/(2*_xlpm.cone), z_min), z_max),
 _xlpm.sOpacity, opacity_speed_min + (1-K$35)^opacity_gamma*(1-opacity_speed_min),
 _xlpm.sfRaw, _xlpm.sOpacity * (z_min/_xlpm.z)^feedrate_z_exponent * (1-viscosity),
 _xlpm.sf, MAX(0,MIN(1,_xlpm.sfRaw)),
 MAX(feedrate_floor, v_max*_xlpm.sf) / 1524
)</f>
        <v>0.32040844372887201</v>
      </c>
      <c r="L64">
        <f>_xlfn.LET(
 _xlpm.w, MIN(MAX($C64, min_width), max_width),
 _xlpm.cone, TAN(RADIANS(spray_cone_angle/2)),
 _xlpm.z, MIN(MAX(_xlpm.w/(2*_xlpm.cone), z_min), z_max),
 _xlpm.sOpacity, opacity_speed_min + (1-L$35)^opacity_gamma*(1-opacity_speed_min),
 _xlpm.sfRaw, _xlpm.sOpacity * (z_min/_xlpm.z)^feedrate_z_exponent * (1-viscosity),
 _xlpm.sf, MAX(0,MIN(1,_xlpm.sfRaw)),
 MAX(feedrate_floor, v_max*_xlpm.sf) / 1524
)</f>
        <v>0.31402279469301397</v>
      </c>
      <c r="M64">
        <f>_xlfn.LET(
 _xlpm.w, MIN(MAX($C64, min_width), max_width),
 _xlpm.cone, TAN(RADIANS(spray_cone_angle/2)),
 _xlpm.z, MIN(MAX(_xlpm.w/(2*_xlpm.cone), z_min), z_max),
 _xlpm.sOpacity, opacity_speed_min + (1-M$35)^opacity_gamma*(1-opacity_speed_min),
 _xlpm.sfRaw, _xlpm.sOpacity * (z_min/_xlpm.z)^feedrate_z_exponent * (1-viscosity),
 _xlpm.sf, MAX(0,MIN(1,_xlpm.sfRaw)),
 MAX(feedrate_floor, v_max*_xlpm.sf) / 1524
)</f>
        <v>0.3104927660350143</v>
      </c>
    </row>
  </sheetData>
  <conditionalFormatting sqref="N29:N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M6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Scroll Bar 6">
              <controlPr defaultSize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1</xdr:col>
                    <xdr:colOff>2758440</xdr:colOff>
                    <xdr:row>29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4" name="Scroll Bar 8">
              <controlPr defaultSize="0" autoPict="0">
                <anchor moveWithCells="1">
                  <from>
                    <xdr:col>0</xdr:col>
                    <xdr:colOff>15240</xdr:colOff>
                    <xdr:row>31</xdr:row>
                    <xdr:rowOff>30480</xdr:rowOff>
                  </from>
                  <to>
                    <xdr:col>1</xdr:col>
                    <xdr:colOff>2773680</xdr:colOff>
                    <xdr:row>32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0</xdr:col>
                    <xdr:colOff>22860</xdr:colOff>
                    <xdr:row>4</xdr:row>
                    <xdr:rowOff>30480</xdr:rowOff>
                  </from>
                  <to>
                    <xdr:col>1</xdr:col>
                    <xdr:colOff>2766060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croll Bar 3">
              <controlPr defaultSize="0" autoPict="0">
                <anchor moveWithCells="1">
                  <from>
                    <xdr:col>0</xdr:col>
                    <xdr:colOff>0</xdr:colOff>
                    <xdr:row>7</xdr:row>
                    <xdr:rowOff>30480</xdr:rowOff>
                  </from>
                  <to>
                    <xdr:col>2</xdr:col>
                    <xdr:colOff>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Scroll Bar 4">
              <controlPr defaultSize="0" autoPict="0">
                <anchor moveWithCells="1">
                  <from>
                    <xdr:col>0</xdr:col>
                    <xdr:colOff>0</xdr:colOff>
                    <xdr:row>10</xdr:row>
                    <xdr:rowOff>7620</xdr:rowOff>
                  </from>
                  <to>
                    <xdr:col>1</xdr:col>
                    <xdr:colOff>2773680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Scroll Bar 5">
              <controlPr defaultSize="0" autoPict="0">
                <anchor moveWithCells="1">
                  <from>
                    <xdr:col>0</xdr:col>
                    <xdr:colOff>0</xdr:colOff>
                    <xdr:row>21</xdr:row>
                    <xdr:rowOff>30480</xdr:rowOff>
                  </from>
                  <to>
                    <xdr:col>1</xdr:col>
                    <xdr:colOff>2766060</xdr:colOff>
                    <xdr:row>23</xdr:row>
                    <xdr:rowOff>22860</xdr:rowOff>
                  </to>
                </anchor>
              </controlPr>
            </control>
          </mc:Choice>
        </mc:AlternateContent>
      </controls>
    </mc:Choice>
  </mc:AlternateContent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Model</vt:lpstr>
      <vt:lpstr>feedrate_floor</vt:lpstr>
      <vt:lpstr>feedrate_z_exponent</vt:lpstr>
      <vt:lpstr>max_width</vt:lpstr>
      <vt:lpstr>min_width</vt:lpstr>
      <vt:lpstr>opacity_gamma</vt:lpstr>
      <vt:lpstr>opacity_speed_min</vt:lpstr>
      <vt:lpstr>spray_cone_angle</vt:lpstr>
      <vt:lpstr>v_max</vt:lpstr>
      <vt:lpstr>viscosity</vt:lpstr>
      <vt:lpstr>width</vt:lpstr>
      <vt:lpstr>z_max</vt:lpstr>
      <vt:lpstr>z_min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Tremblay</cp:lastModifiedBy>
  <dcterms:created xsi:type="dcterms:W3CDTF">2025-09-23T22:32:20Z</dcterms:created>
  <dcterms:modified xsi:type="dcterms:W3CDTF">2025-09-25T00:38:41Z</dcterms:modified>
</cp:coreProperties>
</file>